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47789463-13C5-4AB9-AE9E-4947B9E638E0}" xr6:coauthVersionLast="47" xr6:coauthVersionMax="47" xr10:uidLastSave="{00000000-0000-0000-0000-000000000000}"/>
  <bookViews>
    <workbookView xWindow="2295" yWindow="1380" windowWidth="26505" windowHeight="1410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5" i="1"/>
  <c r="B26" i="1"/>
</calcChain>
</file>

<file path=xl/sharedStrings.xml><?xml version="1.0" encoding="utf-8"?>
<sst xmlns="http://schemas.openxmlformats.org/spreadsheetml/2006/main" count="66" uniqueCount="47">
  <si>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</si>
  <si>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</si>
  <si>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</si>
  <si>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</si>
  <si>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</si>
  <si>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</si>
  <si>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</si>
  <si>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</si>
  <si>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</si>
  <si>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</si>
  <si>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</si>
  <si>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</si>
  <si>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</si>
  <si>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</si>
  <si>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</si>
  <si>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</si>
  <si>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</si>
  <si>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</si>
  <si>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</si>
  <si>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</si>
  <si>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</si>
  <si>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</si>
  <si>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</si>
  <si>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</si>
  <si>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</si>
  <si>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</si>
  <si>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</si>
  <si>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</si>
  <si>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</si>
  <si>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</si>
  <si>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</si>
  <si>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</si>
  <si>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</si>
  <si>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</si>
  <si>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</si>
  <si>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</si>
  <si>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</si>
  <si>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</si>
  <si>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</si>
  <si>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</si>
  <si>
    <t>Correcting software needs and application global flow. Beginning of technology choices</t>
  </si>
  <si>
    <t>First manipulations with QT linguistic module</t>
  </si>
  <si>
    <t>Simple hello world with french translation.</t>
  </si>
  <si>
    <t>At the end of the meeting, the following tasks must be done in the near future
- Introduction writing
- Guess at the software specification
- Guess at the software behavior (decision tree)
- Compile a first QT program that talks with tucuxi core</t>
  </si>
  <si>
    <t>Reading tucucli code, first approach to query/drug file and considerations</t>
  </si>
  <si>
    <t xml:space="preserve">Reading what happens in tucucli, everything just before real computation starts. How to validate query, certify that the data are good. Attempt to decide how to chose a drug file based on a query file. </t>
  </si>
  <si>
    <t>Reviewing Application global flow, discussion about input validation. 
For next time, first draft of input/query file validation.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</si>
</sst>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29"/>
  <sheetViews>
    <sheetView tabSelected="1" zoomScaleNormal="100" workbookViewId="0">
      <selection activeCell="E5" sqref="E5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37" t="s">
        <v>26</v>
      </c>
      <c r="B1" s="37"/>
      <c r="C1" s="37"/>
      <c r="D1" s="37"/>
      <c r="E1" s="37"/>
      <c r="F1" s="37"/>
    </row>
    <row r="2" spans="1:9" s="13" customFormat="1" ht="14.25" x14ac:dyDescent="0.2">
      <c r="A2" s="37"/>
      <c r="B2" s="37"/>
      <c r="C2" s="37"/>
      <c r="D2" s="37"/>
      <c r="E2" s="37"/>
      <c r="F2" s="37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19</v>
      </c>
      <c r="D4" s="14"/>
      <c r="E4" s="26"/>
      <c r="F4" s="25"/>
    </row>
    <row r="5" spans="1:9" s="13" customFormat="1" ht="20.25" customHeight="1" x14ac:dyDescent="0.2">
      <c r="C5" s="34">
        <f>SUM($C$10:C213)</f>
        <v>1.1041666666666665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18</v>
      </c>
      <c r="D9" s="15" t="s">
        <v>1</v>
      </c>
      <c r="E9" s="18" t="s">
        <v>0</v>
      </c>
      <c r="F9" s="18" t="s">
        <v>12</v>
      </c>
      <c r="H9" s="27"/>
    </row>
    <row r="10" spans="1:9" ht="30" x14ac:dyDescent="0.25">
      <c r="A10" s="29">
        <v>44631</v>
      </c>
      <c r="B10" s="19">
        <f t="shared" ref="B10" si="0">WEEKNUM(A10)</f>
        <v>11</v>
      </c>
      <c r="C10" s="30">
        <v>2.0833333333333332E-2</v>
      </c>
      <c r="D10" s="20" t="s">
        <v>13</v>
      </c>
      <c r="E10" s="21" t="s">
        <v>14</v>
      </c>
      <c r="F10" s="21" t="s">
        <v>46</v>
      </c>
      <c r="I10" s="7"/>
    </row>
    <row r="11" spans="1:9" x14ac:dyDescent="0.25">
      <c r="A11" s="35">
        <v>44631</v>
      </c>
      <c r="B11" s="22">
        <f t="shared" ref="B11" si="1">WEEKNUM(A11)</f>
        <v>11</v>
      </c>
      <c r="C11" s="36">
        <v>4.1666666666666664E-2</v>
      </c>
      <c r="D11" s="23" t="s">
        <v>8</v>
      </c>
      <c r="E11" s="24" t="s">
        <v>41</v>
      </c>
      <c r="F11" s="24" t="s">
        <v>42</v>
      </c>
      <c r="I11" s="7"/>
    </row>
    <row r="12" spans="1:9" ht="30" x14ac:dyDescent="0.25">
      <c r="A12" s="35">
        <v>44631</v>
      </c>
      <c r="B12" s="22">
        <f t="shared" ref="B12" si="2">WEEKNUM(A12)</f>
        <v>11</v>
      </c>
      <c r="C12" s="36">
        <v>7.2916666666666671E-2</v>
      </c>
      <c r="D12" s="23" t="s">
        <v>4</v>
      </c>
      <c r="E12" s="24" t="s">
        <v>40</v>
      </c>
      <c r="F12" s="24"/>
      <c r="I12" s="7"/>
    </row>
    <row r="13" spans="1:9" ht="45" x14ac:dyDescent="0.25">
      <c r="A13" s="35">
        <v>44631</v>
      </c>
      <c r="B13" s="22">
        <f t="shared" ref="B13" si="3">WEEKNUM(A13)</f>
        <v>11</v>
      </c>
      <c r="C13" s="36">
        <v>0.14583333333333334</v>
      </c>
      <c r="D13" s="23" t="s">
        <v>2</v>
      </c>
      <c r="E13" s="24" t="s">
        <v>44</v>
      </c>
      <c r="F13" s="24" t="s">
        <v>45</v>
      </c>
      <c r="I13" s="7"/>
    </row>
    <row r="14" spans="1:9" x14ac:dyDescent="0.25">
      <c r="A14" s="35">
        <v>44630</v>
      </c>
      <c r="B14" s="22">
        <f t="shared" ref="B14" si="4">WEEKNUM(A14)</f>
        <v>11</v>
      </c>
      <c r="C14" s="36">
        <v>3.125E-2</v>
      </c>
      <c r="D14" s="23" t="s">
        <v>2</v>
      </c>
      <c r="E14" s="24" t="s">
        <v>36</v>
      </c>
      <c r="F14" s="24" t="s">
        <v>37</v>
      </c>
      <c r="I14" s="7"/>
    </row>
    <row r="15" spans="1:9" x14ac:dyDescent="0.25">
      <c r="A15" s="35">
        <v>44630</v>
      </c>
      <c r="B15" s="22">
        <f t="shared" ref="B15" si="5">WEEKNUM(A15)</f>
        <v>11</v>
      </c>
      <c r="C15" s="36">
        <v>3.125E-2</v>
      </c>
      <c r="D15" s="23" t="s">
        <v>4</v>
      </c>
      <c r="E15" s="24" t="s">
        <v>38</v>
      </c>
      <c r="F15" s="24" t="s">
        <v>39</v>
      </c>
      <c r="I15" s="7"/>
    </row>
    <row r="16" spans="1:9" x14ac:dyDescent="0.25">
      <c r="A16" s="35">
        <v>44627</v>
      </c>
      <c r="B16" s="22">
        <f t="shared" ref="B16" si="6">WEEKNUM(A16)</f>
        <v>11</v>
      </c>
      <c r="C16" s="36">
        <v>3.125E-2</v>
      </c>
      <c r="D16" s="23" t="s">
        <v>2</v>
      </c>
      <c r="E16" s="24" t="s">
        <v>35</v>
      </c>
      <c r="F16" s="24"/>
      <c r="I16" s="7"/>
    </row>
    <row r="17" spans="1:9" x14ac:dyDescent="0.25">
      <c r="A17" s="35">
        <v>44625</v>
      </c>
      <c r="B17" s="22">
        <f t="shared" ref="B17" si="7">WEEKNUM(A17)</f>
        <v>10</v>
      </c>
      <c r="C17" s="36">
        <v>6.25E-2</v>
      </c>
      <c r="D17" s="23" t="s">
        <v>8</v>
      </c>
      <c r="E17" s="24" t="s">
        <v>33</v>
      </c>
      <c r="F17" s="24" t="s">
        <v>34</v>
      </c>
      <c r="I17" s="7"/>
    </row>
    <row r="18" spans="1:9" ht="30" x14ac:dyDescent="0.25">
      <c r="A18" s="35">
        <v>44624</v>
      </c>
      <c r="B18" s="22">
        <f t="shared" ref="B18" si="8">WEEKNUM(A18)</f>
        <v>10</v>
      </c>
      <c r="C18" s="36">
        <v>6.25E-2</v>
      </c>
      <c r="D18" s="23" t="s">
        <v>8</v>
      </c>
      <c r="E18" s="24" t="s">
        <v>31</v>
      </c>
      <c r="F18" s="24" t="s">
        <v>32</v>
      </c>
      <c r="I18" s="7"/>
    </row>
    <row r="19" spans="1:9" x14ac:dyDescent="0.25">
      <c r="A19" s="35">
        <v>44624</v>
      </c>
      <c r="B19" s="22">
        <f t="shared" ref="B19" si="9">WEEKNUM(A19)</f>
        <v>10</v>
      </c>
      <c r="C19" s="36">
        <v>0.125</v>
      </c>
      <c r="D19" s="23" t="s">
        <v>4</v>
      </c>
      <c r="E19" s="24" t="s">
        <v>29</v>
      </c>
      <c r="F19" s="24" t="s">
        <v>30</v>
      </c>
      <c r="I19" s="7"/>
    </row>
    <row r="20" spans="1:9" x14ac:dyDescent="0.25">
      <c r="A20" s="35">
        <v>44624</v>
      </c>
      <c r="B20" s="22">
        <f t="shared" ref="B20" si="10">WEEKNUM(A20)</f>
        <v>10</v>
      </c>
      <c r="C20" s="36">
        <v>4.1666666666666664E-2</v>
      </c>
      <c r="D20" s="23" t="s">
        <v>4</v>
      </c>
      <c r="E20" s="24" t="s">
        <v>27</v>
      </c>
      <c r="F20" s="24" t="s">
        <v>28</v>
      </c>
      <c r="I20" s="7"/>
    </row>
    <row r="21" spans="1:9" x14ac:dyDescent="0.25">
      <c r="A21" s="35">
        <v>44624</v>
      </c>
      <c r="B21" s="22">
        <f t="shared" ref="B21" si="11">WEEKNUM(A21)</f>
        <v>10</v>
      </c>
      <c r="C21" s="36">
        <v>4.1666666666666664E-2</v>
      </c>
      <c r="D21" s="23" t="s">
        <v>4</v>
      </c>
      <c r="E21" s="24" t="s">
        <v>20</v>
      </c>
      <c r="F21" s="24"/>
      <c r="I21" s="7"/>
    </row>
    <row r="22" spans="1:9" ht="90" x14ac:dyDescent="0.25">
      <c r="A22" s="29">
        <v>44623</v>
      </c>
      <c r="B22" s="19">
        <f t="shared" ref="B22" si="12">WEEKNUM(A22)</f>
        <v>10</v>
      </c>
      <c r="C22" s="30">
        <v>2.0833333333333332E-2</v>
      </c>
      <c r="D22" s="20" t="s">
        <v>13</v>
      </c>
      <c r="E22" s="21" t="s">
        <v>14</v>
      </c>
      <c r="F22" s="21" t="s">
        <v>43</v>
      </c>
      <c r="I22" s="7"/>
    </row>
    <row r="23" spans="1:9" ht="45" x14ac:dyDescent="0.25">
      <c r="A23" s="35">
        <v>44622</v>
      </c>
      <c r="B23" s="22"/>
      <c r="C23" s="36">
        <v>4.1666666666666664E-2</v>
      </c>
      <c r="D23" s="23" t="s">
        <v>21</v>
      </c>
      <c r="E23" s="24" t="s">
        <v>24</v>
      </c>
      <c r="F23" s="24" t="s">
        <v>25</v>
      </c>
      <c r="I23" s="7"/>
    </row>
    <row r="24" spans="1:9" ht="60" x14ac:dyDescent="0.25">
      <c r="A24" s="35">
        <v>44619</v>
      </c>
      <c r="B24" s="22"/>
      <c r="C24" s="36">
        <v>8.3333333333333329E-2</v>
      </c>
      <c r="D24" s="23" t="s">
        <v>21</v>
      </c>
      <c r="E24" s="24" t="s">
        <v>23</v>
      </c>
      <c r="F24" s="24" t="s">
        <v>22</v>
      </c>
      <c r="I24" s="7"/>
    </row>
    <row r="25" spans="1:9" x14ac:dyDescent="0.25">
      <c r="A25" s="28">
        <v>44617</v>
      </c>
      <c r="B25" s="10">
        <f t="shared" ref="B25" si="13">WEEKNUM(A25)</f>
        <v>9</v>
      </c>
      <c r="C25" s="31">
        <v>0.16666666666666666</v>
      </c>
      <c r="D25" s="5" t="s">
        <v>13</v>
      </c>
      <c r="E25" s="6" t="s">
        <v>15</v>
      </c>
      <c r="F25" s="6" t="s">
        <v>16</v>
      </c>
      <c r="I25" s="7"/>
    </row>
    <row r="26" spans="1:9" ht="90" x14ac:dyDescent="0.25">
      <c r="A26" s="29">
        <v>44616</v>
      </c>
      <c r="B26" s="19">
        <f t="shared" ref="B26" si="14">WEEKNUM(A26)</f>
        <v>9</v>
      </c>
      <c r="C26" s="30">
        <v>8.3333333333333329E-2</v>
      </c>
      <c r="D26" s="20" t="s">
        <v>13</v>
      </c>
      <c r="E26" s="21" t="s">
        <v>14</v>
      </c>
      <c r="F26" s="21" t="s">
        <v>17</v>
      </c>
      <c r="I26" s="7"/>
    </row>
    <row r="27" spans="1:9" x14ac:dyDescent="0.25">
      <c r="A27" s="12"/>
      <c r="I27" s="7"/>
    </row>
    <row r="29" spans="1:9" x14ac:dyDescent="0.25">
      <c r="C29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2022-03-11T17:22:30Z</dcterms:modified>
</cp:coreProperties>
</file>