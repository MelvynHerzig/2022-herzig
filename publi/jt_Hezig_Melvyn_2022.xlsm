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4F0A491B-79B5-4FEB-97AB-7D69D22010E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8" i="1"/>
  <c r="B39" i="1"/>
</calcChain>
</file>

<file path=xl/sharedStrings.xml><?xml version="1.0" encoding="utf-8"?>
<sst xmlns="http://schemas.openxmlformats.org/spreadsheetml/2006/main" count="104" uniqueCount="68">
  <si>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</si>
  <si>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</si>
  <si>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</si>
  <si>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</si>
  <si>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</si>
  <si>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</si>
  <si>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</si>
  <si>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</si>
  <si>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</si>
  <si>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</si>
  <si>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</si>
  <si>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</si>
  <si>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</si>
  <si>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</si>
  <si>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</si>
  <si>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</si>
  <si>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</si>
  <si>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</si>
  <si>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</si>
  <si>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</si>
  <si>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</si>
  <si>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</si>
  <si>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</si>
  <si>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</si>
  <si>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</si>
  <si>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</si>
  <si>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</si>
  <si>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</si>
  <si>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</si>
  <si>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</si>
  <si>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</si>
  <si>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</si>
  <si>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</si>
  <si>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</si>
  <si>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</si>
  <si>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</si>
  <si>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</si>
  <si>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</si>
  <si>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</si>
  <si>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</si>
  <si>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</si>
  <si>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</si>
  <si>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</si>
  <si>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</si>
  <si>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</si>
  <si>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</si>
  <si>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</si>
  <si>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</si>
  <si>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</si>
  <si>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</si>
  <si>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</si>
  <si>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</si>
  <si>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</si>
  <si>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</si>
  <si>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</si>
  <si>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</si>
  <si>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</si>
  <si>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</si>
  <si>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</si>
  <si>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</si>
  <si>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</si>
  <si>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</si>
  <si>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</si>
  <si>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</si>
  <si>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</si>
  <si>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</si>
  <si>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Final decisions analyse, protytpe of final report</t>
  </si>
  <si>
    <t>Trying to figure out how to correctly configure adjustmentTrait which led to questions for today's meeting,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</si>
</sst>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2"/>
  <sheetViews>
    <sheetView tabSelected="1" topLeftCell="A13" zoomScaleNormal="100" workbookViewId="0">
      <selection activeCell="H9" sqref="H9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SUM($C$10:C226)</f>
        <v>2.3020833333333335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7">
        <v>44659</v>
      </c>
      <c r="B10" s="38">
        <f t="shared" ref="B10" si="0">WEEKNUM(A10)</f>
        <v>15</v>
      </c>
      <c r="C10" s="39">
        <v>0.125</v>
      </c>
      <c r="D10" s="40" t="s">
        <v>2</v>
      </c>
      <c r="E10" s="41" t="s">
        <v>66</v>
      </c>
      <c r="F10" s="41" t="s">
        <v>67</v>
      </c>
      <c r="I10" s="7"/>
    </row>
    <row r="11" spans="1:9" x14ac:dyDescent="0.25">
      <c r="A11" s="37">
        <v>44658</v>
      </c>
      <c r="B11" s="38">
        <f t="shared" ref="B11" si="1">WEEKNUM(A11)</f>
        <v>15</v>
      </c>
      <c r="C11" s="39">
        <v>8.3333333333333329E-2</v>
      </c>
      <c r="D11" s="40" t="s">
        <v>4</v>
      </c>
      <c r="E11" s="41" t="s">
        <v>64</v>
      </c>
      <c r="F11" s="41" t="s">
        <v>65</v>
      </c>
      <c r="I11" s="7"/>
    </row>
    <row r="12" spans="1:9" x14ac:dyDescent="0.25">
      <c r="A12" s="37">
        <v>44657</v>
      </c>
      <c r="B12" s="38">
        <f t="shared" ref="B12" si="2">WEEKNUM(A12)</f>
        <v>15</v>
      </c>
      <c r="C12" s="39">
        <v>0.11458333333333333</v>
      </c>
      <c r="D12" s="40" t="s">
        <v>4</v>
      </c>
      <c r="E12" s="41" t="s">
        <v>63</v>
      </c>
      <c r="F12" s="41"/>
      <c r="I12" s="7"/>
    </row>
    <row r="13" spans="1:9" ht="30" x14ac:dyDescent="0.25">
      <c r="A13" s="37">
        <v>44652</v>
      </c>
      <c r="B13" s="38">
        <f t="shared" ref="B13" si="3">WEEKNUM(A13)</f>
        <v>14</v>
      </c>
      <c r="C13" s="39">
        <v>0.20833333333333334</v>
      </c>
      <c r="D13" s="40" t="s">
        <v>2</v>
      </c>
      <c r="E13" s="41" t="s">
        <v>61</v>
      </c>
      <c r="F13" s="41" t="s">
        <v>62</v>
      </c>
      <c r="I13" s="7"/>
    </row>
    <row r="14" spans="1:9" x14ac:dyDescent="0.25">
      <c r="A14" s="29">
        <v>44652</v>
      </c>
      <c r="B14" s="19">
        <f t="shared" ref="B14" si="4">WEEKNUM(A14)</f>
        <v>14</v>
      </c>
      <c r="C14" s="30">
        <v>4.1666666666666664E-2</v>
      </c>
      <c r="D14" s="20" t="s">
        <v>13</v>
      </c>
      <c r="E14" s="21" t="s">
        <v>14</v>
      </c>
      <c r="F14" s="21" t="s">
        <v>60</v>
      </c>
      <c r="I14" s="7"/>
    </row>
    <row r="15" spans="1:9" x14ac:dyDescent="0.25">
      <c r="A15" s="37">
        <v>44651</v>
      </c>
      <c r="B15" s="38">
        <f t="shared" ref="B15" si="5">WEEKNUM(A15)</f>
        <v>14</v>
      </c>
      <c r="C15" s="39">
        <v>4.1666666666666664E-2</v>
      </c>
      <c r="D15" s="40" t="s">
        <v>2</v>
      </c>
      <c r="E15" s="41" t="s">
        <v>57</v>
      </c>
      <c r="F15" s="41" t="s">
        <v>59</v>
      </c>
      <c r="I15" s="7"/>
    </row>
    <row r="16" spans="1:9" x14ac:dyDescent="0.25">
      <c r="A16" s="37">
        <v>44650</v>
      </c>
      <c r="B16" s="38">
        <f t="shared" ref="B16" si="6">WEEKNUM(A16)</f>
        <v>14</v>
      </c>
      <c r="C16" s="39">
        <v>4.1666666666666664E-2</v>
      </c>
      <c r="D16" s="40" t="s">
        <v>2</v>
      </c>
      <c r="E16" s="41" t="s">
        <v>57</v>
      </c>
      <c r="F16" s="41" t="s">
        <v>58</v>
      </c>
      <c r="I16" s="7"/>
    </row>
    <row r="17" spans="1:9" ht="30" x14ac:dyDescent="0.25">
      <c r="A17" s="37">
        <v>44648</v>
      </c>
      <c r="B17" s="38">
        <f t="shared" ref="B17" si="7">WEEKNUM(A17)</f>
        <v>14</v>
      </c>
      <c r="C17" s="39">
        <v>9.375E-2</v>
      </c>
      <c r="D17" s="40" t="s">
        <v>2</v>
      </c>
      <c r="E17" s="41" t="s">
        <v>55</v>
      </c>
      <c r="F17" s="41" t="s">
        <v>56</v>
      </c>
      <c r="I17" s="7"/>
    </row>
    <row r="18" spans="1:9" ht="30" x14ac:dyDescent="0.25">
      <c r="A18" s="29">
        <v>44645</v>
      </c>
      <c r="B18" s="19">
        <f t="shared" ref="B18" si="8">WEEKNUM(A18)</f>
        <v>13</v>
      </c>
      <c r="C18" s="30">
        <v>4.1666666666666664E-2</v>
      </c>
      <c r="D18" s="20" t="s">
        <v>13</v>
      </c>
      <c r="E18" s="21" t="s">
        <v>14</v>
      </c>
      <c r="F18" s="21" t="s">
        <v>53</v>
      </c>
      <c r="I18" s="7"/>
    </row>
    <row r="19" spans="1:9" ht="30" x14ac:dyDescent="0.25">
      <c r="A19" s="35">
        <v>44645</v>
      </c>
      <c r="B19" s="22">
        <f t="shared" ref="B19" si="9">WEEKNUM(A19)</f>
        <v>13</v>
      </c>
      <c r="C19" s="36">
        <v>0.20833333333333334</v>
      </c>
      <c r="D19" s="23" t="s">
        <v>2</v>
      </c>
      <c r="E19" s="24" t="s">
        <v>54</v>
      </c>
      <c r="F19" s="24" t="s">
        <v>52</v>
      </c>
      <c r="I19" s="7"/>
    </row>
    <row r="20" spans="1:9" x14ac:dyDescent="0.25">
      <c r="A20" s="35">
        <v>44644</v>
      </c>
      <c r="B20" s="22">
        <f t="shared" ref="B20" si="10">WEEKNUM(A20)</f>
        <v>13</v>
      </c>
      <c r="C20" s="36">
        <v>8.3333333333333329E-2</v>
      </c>
      <c r="D20" s="23" t="s">
        <v>2</v>
      </c>
      <c r="E20" s="24" t="s">
        <v>50</v>
      </c>
      <c r="F20" s="24" t="s">
        <v>51</v>
      </c>
      <c r="I20" s="7"/>
    </row>
    <row r="21" spans="1:9" x14ac:dyDescent="0.25">
      <c r="A21" s="35">
        <v>44643</v>
      </c>
      <c r="B21" s="22">
        <f t="shared" ref="B21" si="11">WEEKNUM(A21)</f>
        <v>13</v>
      </c>
      <c r="C21" s="36">
        <v>7.2916666666666671E-2</v>
      </c>
      <c r="D21" s="23" t="s">
        <v>2</v>
      </c>
      <c r="E21" s="24" t="s">
        <v>50</v>
      </c>
      <c r="F21" s="24" t="s">
        <v>49</v>
      </c>
      <c r="I21" s="7"/>
    </row>
    <row r="22" spans="1:9" ht="30" x14ac:dyDescent="0.25">
      <c r="A22" s="35">
        <v>44641</v>
      </c>
      <c r="B22" s="22">
        <f t="shared" ref="B22" si="12">WEEKNUM(A22)</f>
        <v>13</v>
      </c>
      <c r="C22" s="36">
        <v>4.1666666666666664E-2</v>
      </c>
      <c r="D22" s="23" t="s">
        <v>2</v>
      </c>
      <c r="E22" s="24" t="s">
        <v>47</v>
      </c>
      <c r="F22" s="24" t="s">
        <v>48</v>
      </c>
      <c r="I22" s="7"/>
    </row>
    <row r="23" spans="1:9" ht="30" x14ac:dyDescent="0.25">
      <c r="A23" s="29">
        <v>44631</v>
      </c>
      <c r="B23" s="19">
        <f t="shared" ref="B23" si="13">WEEKNUM(A23)</f>
        <v>11</v>
      </c>
      <c r="C23" s="30">
        <v>2.0833333333333332E-2</v>
      </c>
      <c r="D23" s="20" t="s">
        <v>13</v>
      </c>
      <c r="E23" s="21" t="s">
        <v>14</v>
      </c>
      <c r="F23" s="21" t="s">
        <v>46</v>
      </c>
      <c r="I23" s="7"/>
    </row>
    <row r="24" spans="1:9" x14ac:dyDescent="0.25">
      <c r="A24" s="35">
        <v>44631</v>
      </c>
      <c r="B24" s="22">
        <f t="shared" ref="B24" si="14">WEEKNUM(A24)</f>
        <v>11</v>
      </c>
      <c r="C24" s="36">
        <v>4.1666666666666664E-2</v>
      </c>
      <c r="D24" s="23" t="s">
        <v>8</v>
      </c>
      <c r="E24" s="24" t="s">
        <v>41</v>
      </c>
      <c r="F24" s="24" t="s">
        <v>42</v>
      </c>
      <c r="I24" s="7"/>
    </row>
    <row r="25" spans="1:9" ht="30" x14ac:dyDescent="0.25">
      <c r="A25" s="35">
        <v>44631</v>
      </c>
      <c r="B25" s="22">
        <f t="shared" ref="B25" si="15">WEEKNUM(A25)</f>
        <v>11</v>
      </c>
      <c r="C25" s="36">
        <v>7.2916666666666671E-2</v>
      </c>
      <c r="D25" s="23" t="s">
        <v>4</v>
      </c>
      <c r="E25" s="24" t="s">
        <v>40</v>
      </c>
      <c r="F25" s="24"/>
      <c r="I25" s="7"/>
    </row>
    <row r="26" spans="1:9" ht="45" x14ac:dyDescent="0.25">
      <c r="A26" s="35">
        <v>44631</v>
      </c>
      <c r="B26" s="22">
        <f t="shared" ref="B26" si="16">WEEKNUM(A26)</f>
        <v>11</v>
      </c>
      <c r="C26" s="36">
        <v>0.14583333333333334</v>
      </c>
      <c r="D26" s="23" t="s">
        <v>2</v>
      </c>
      <c r="E26" s="24" t="s">
        <v>44</v>
      </c>
      <c r="F26" s="24" t="s">
        <v>45</v>
      </c>
      <c r="I26" s="7"/>
    </row>
    <row r="27" spans="1:9" x14ac:dyDescent="0.25">
      <c r="A27" s="35">
        <v>44630</v>
      </c>
      <c r="B27" s="22">
        <f t="shared" ref="B27" si="17">WEEKNUM(A27)</f>
        <v>11</v>
      </c>
      <c r="C27" s="36">
        <v>3.125E-2</v>
      </c>
      <c r="D27" s="23" t="s">
        <v>2</v>
      </c>
      <c r="E27" s="24" t="s">
        <v>36</v>
      </c>
      <c r="F27" s="24" t="s">
        <v>37</v>
      </c>
      <c r="I27" s="7"/>
    </row>
    <row r="28" spans="1:9" x14ac:dyDescent="0.25">
      <c r="A28" s="35">
        <v>44630</v>
      </c>
      <c r="B28" s="22">
        <f t="shared" ref="B28" si="18">WEEKNUM(A28)</f>
        <v>11</v>
      </c>
      <c r="C28" s="36">
        <v>3.125E-2</v>
      </c>
      <c r="D28" s="23" t="s">
        <v>4</v>
      </c>
      <c r="E28" s="24" t="s">
        <v>38</v>
      </c>
      <c r="F28" s="24" t="s">
        <v>39</v>
      </c>
      <c r="I28" s="7"/>
    </row>
    <row r="29" spans="1:9" x14ac:dyDescent="0.25">
      <c r="A29" s="35">
        <v>44627</v>
      </c>
      <c r="B29" s="22">
        <f t="shared" ref="B29" si="19">WEEKNUM(A29)</f>
        <v>11</v>
      </c>
      <c r="C29" s="36">
        <v>3.125E-2</v>
      </c>
      <c r="D29" s="23" t="s">
        <v>2</v>
      </c>
      <c r="E29" s="24" t="s">
        <v>35</v>
      </c>
      <c r="F29" s="24"/>
      <c r="I29" s="7"/>
    </row>
    <row r="30" spans="1:9" x14ac:dyDescent="0.25">
      <c r="A30" s="35">
        <v>44625</v>
      </c>
      <c r="B30" s="22">
        <f t="shared" ref="B30" si="20">WEEKNUM(A30)</f>
        <v>10</v>
      </c>
      <c r="C30" s="36">
        <v>6.25E-2</v>
      </c>
      <c r="D30" s="23" t="s">
        <v>8</v>
      </c>
      <c r="E30" s="24" t="s">
        <v>33</v>
      </c>
      <c r="F30" s="24" t="s">
        <v>34</v>
      </c>
      <c r="I30" s="7"/>
    </row>
    <row r="31" spans="1:9" ht="30" x14ac:dyDescent="0.25">
      <c r="A31" s="35">
        <v>44624</v>
      </c>
      <c r="B31" s="22">
        <f t="shared" ref="B31" si="21">WEEKNUM(A31)</f>
        <v>10</v>
      </c>
      <c r="C31" s="36">
        <v>6.25E-2</v>
      </c>
      <c r="D31" s="23" t="s">
        <v>8</v>
      </c>
      <c r="E31" s="24" t="s">
        <v>31</v>
      </c>
      <c r="F31" s="24" t="s">
        <v>32</v>
      </c>
      <c r="I31" s="7"/>
    </row>
    <row r="32" spans="1:9" x14ac:dyDescent="0.25">
      <c r="A32" s="35">
        <v>44624</v>
      </c>
      <c r="B32" s="22">
        <f t="shared" ref="B32" si="22">WEEKNUM(A32)</f>
        <v>10</v>
      </c>
      <c r="C32" s="36">
        <v>0.125</v>
      </c>
      <c r="D32" s="23" t="s">
        <v>4</v>
      </c>
      <c r="E32" s="24" t="s">
        <v>29</v>
      </c>
      <c r="F32" s="24" t="s">
        <v>30</v>
      </c>
      <c r="I32" s="7"/>
    </row>
    <row r="33" spans="1:9" x14ac:dyDescent="0.25">
      <c r="A33" s="35">
        <v>44624</v>
      </c>
      <c r="B33" s="22">
        <f t="shared" ref="B33" si="23">WEEKNUM(A33)</f>
        <v>10</v>
      </c>
      <c r="C33" s="36">
        <v>4.1666666666666664E-2</v>
      </c>
      <c r="D33" s="23" t="s">
        <v>4</v>
      </c>
      <c r="E33" s="24" t="s">
        <v>27</v>
      </c>
      <c r="F33" s="24" t="s">
        <v>28</v>
      </c>
      <c r="I33" s="7"/>
    </row>
    <row r="34" spans="1:9" x14ac:dyDescent="0.25">
      <c r="A34" s="35">
        <v>44624</v>
      </c>
      <c r="B34" s="22">
        <f t="shared" ref="B34" si="24">WEEKNUM(A34)</f>
        <v>10</v>
      </c>
      <c r="C34" s="36">
        <v>4.1666666666666664E-2</v>
      </c>
      <c r="D34" s="23" t="s">
        <v>4</v>
      </c>
      <c r="E34" s="24" t="s">
        <v>20</v>
      </c>
      <c r="F34" s="24"/>
      <c r="I34" s="7"/>
    </row>
    <row r="35" spans="1:9" ht="90" x14ac:dyDescent="0.25">
      <c r="A35" s="29">
        <v>44623</v>
      </c>
      <c r="B35" s="19">
        <f t="shared" ref="B35" si="25">WEEKNUM(A35)</f>
        <v>10</v>
      </c>
      <c r="C35" s="30">
        <v>2.0833333333333332E-2</v>
      </c>
      <c r="D35" s="20" t="s">
        <v>13</v>
      </c>
      <c r="E35" s="21" t="s">
        <v>14</v>
      </c>
      <c r="F35" s="21" t="s">
        <v>43</v>
      </c>
      <c r="I35" s="7"/>
    </row>
    <row r="36" spans="1:9" ht="45" x14ac:dyDescent="0.25">
      <c r="A36" s="35">
        <v>44622</v>
      </c>
      <c r="B36" s="22"/>
      <c r="C36" s="36">
        <v>4.1666666666666664E-2</v>
      </c>
      <c r="D36" s="23" t="s">
        <v>21</v>
      </c>
      <c r="E36" s="24" t="s">
        <v>24</v>
      </c>
      <c r="F36" s="24" t="s">
        <v>25</v>
      </c>
      <c r="I36" s="7"/>
    </row>
    <row r="37" spans="1:9" ht="60" x14ac:dyDescent="0.25">
      <c r="A37" s="35">
        <v>44619</v>
      </c>
      <c r="B37" s="22"/>
      <c r="C37" s="36">
        <v>8.3333333333333329E-2</v>
      </c>
      <c r="D37" s="23" t="s">
        <v>21</v>
      </c>
      <c r="E37" s="24" t="s">
        <v>23</v>
      </c>
      <c r="F37" s="24" t="s">
        <v>22</v>
      </c>
      <c r="I37" s="7"/>
    </row>
    <row r="38" spans="1:9" x14ac:dyDescent="0.25">
      <c r="A38" s="28">
        <v>44617</v>
      </c>
      <c r="B38" s="10">
        <f t="shared" ref="B38" si="26">WEEKNUM(A38)</f>
        <v>9</v>
      </c>
      <c r="C38" s="31">
        <v>0.16666666666666666</v>
      </c>
      <c r="D38" s="5" t="s">
        <v>13</v>
      </c>
      <c r="E38" s="6" t="s">
        <v>15</v>
      </c>
      <c r="F38" s="6" t="s">
        <v>16</v>
      </c>
      <c r="I38" s="7"/>
    </row>
    <row r="39" spans="1:9" ht="90" x14ac:dyDescent="0.25">
      <c r="A39" s="29">
        <v>44616</v>
      </c>
      <c r="B39" s="19">
        <f t="shared" ref="B39" si="27">WEEKNUM(A39)</f>
        <v>9</v>
      </c>
      <c r="C39" s="30">
        <v>8.3333333333333329E-2</v>
      </c>
      <c r="D39" s="20" t="s">
        <v>13</v>
      </c>
      <c r="E39" s="21" t="s">
        <v>14</v>
      </c>
      <c r="F39" s="21" t="s">
        <v>17</v>
      </c>
      <c r="I39" s="7"/>
    </row>
    <row r="40" spans="1:9" x14ac:dyDescent="0.25">
      <c r="A40" s="12"/>
      <c r="I40" s="7"/>
    </row>
    <row r="42" spans="1:9" x14ac:dyDescent="0.25">
      <c r="C42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2022-04-08T10:04:24Z</dcterms:modified>
</cp:coreProperties>
</file>