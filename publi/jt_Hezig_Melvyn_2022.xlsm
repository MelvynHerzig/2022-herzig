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filterPrivacy="1" codeName="ThisWorkbook" hidePivotFieldList="1"/>
  <xr:revisionPtr revIDLastSave="0" documentId="13_ncr:1_{2840FDFA-C7B9-41DF-A7BF-D826A1BB1E2C}" xr6:coauthVersionLast="47" xr6:coauthVersionMax="47" xr10:uidLastSave="{00000000-0000-0000-0000-000000000000}"/>
  <bookViews>
    <workbookView xWindow="-105" yWindow="0" windowWidth="26505" windowHeight="1410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9" i="1"/>
  <c r="B50" i="1"/>
</calcChain>
</file>

<file path=xl/sharedStrings.xml><?xml version="1.0" encoding="utf-8"?>
<sst xmlns="http://schemas.openxmlformats.org/spreadsheetml/2006/main" count="136" uniqueCount="85">
  <si>
    <t>Description</t>
  </si>
  <si>
    <t>Type</t>
  </si>
  <si>
    <t>Analyse</t>
  </si>
  <si>
    <t>Tests</t>
  </si>
  <si>
    <t>Documentation</t>
  </si>
  <si>
    <t>Semaine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</si>
  <si>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</si>
  <si>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</si>
  <si>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</si>
  <si>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</si>
  <si>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</si>
  <si>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</si>
  <si>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</si>
  <si>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</si>
  <si>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</si>
  <si>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</si>
  <si>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</si>
  <si>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</si>
  <si>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</si>
  <si>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</si>
  <si>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</si>
  <si>
    <t>Setup</t>
  </si>
  <si>
    <t>I was confused about the type of IDE I was supposed to use. My first attempt was to use VS22 because I noticed a sln file. The problem was that the solution was for VS15. I installed it but it did not work aswell. QT was failing aswell because some preprocessor code was not noticing that I was running under Windows.</t>
  </si>
  <si>
    <t>Development environment setup and core compilation (failing)</t>
  </si>
  <si>
    <t xml:space="preserve">Core compilation (success) </t>
  </si>
  <si>
    <t>After a conversation with Prof. Yann Thoma who corrected some problems, the compilation under Windows with QT + MinGW is now succesfull. But there is 940 compiler warnings.</t>
  </si>
  <si>
    <t>TB: TuberXpert</t>
  </si>
  <si>
    <t>Updating TB word documentation in english</t>
  </si>
  <si>
    <t xml:space="preserve">The original document was written in French </t>
  </si>
  <si>
    <t>Writing thesis introduction</t>
  </si>
  <si>
    <t>Covered the following topics: TDM, Tanzania, and TuberXpert</t>
  </si>
  <si>
    <t>Setting up hello word</t>
  </si>
  <si>
    <t>Probleme with Cmake, had to switch to Qmake (no configuration needed).
Additionnal time has been used to search the best way to execute tucuxi-core</t>
  </si>
  <si>
    <t>Connecting tuberXpert to exe from tucucli</t>
  </si>
  <si>
    <t>I managed to do a meta project which is formed by tuberXpert and tucucli,</t>
  </si>
  <si>
    <t>First draft of application flow/main components</t>
  </si>
  <si>
    <t>Reading parts of Tucucli doc.</t>
  </si>
  <si>
    <t>Used to get a first step in understanding query xml structure</t>
  </si>
  <si>
    <t>Software requierments</t>
  </si>
  <si>
    <t>Based on SciencePart_Thoma.pdf</t>
  </si>
  <si>
    <t>Correcting software needs and application global flow. Beginning of technology choices</t>
  </si>
  <si>
    <t>First manipulations with QT linguistic module</t>
  </si>
  <si>
    <t>Simple hello world with french translation.</t>
  </si>
  <si>
    <t>At the end of the meeting, the following tasks must be done in the near future
- Introduction writing
- Guess at the software specification
- Guess at the software behavior (decision tree)
- Compile a first QT program that talks with tucuxi core</t>
  </si>
  <si>
    <t>Reading tucucli code, first approach to query/drug file and considerations</t>
  </si>
  <si>
    <t xml:space="preserve">Reading what happens in tucucli, everything just before real computation starts. How to validate query, certify that the data are good. Attempt to decide how to chose a drug file based on a query file. </t>
  </si>
  <si>
    <t>Reviewing Application global flow, discussion about input validation. 
For next time, first draft of input/query file validation.</t>
  </si>
  <si>
    <t>Understanding how to use tucucli</t>
  </si>
  <si>
    <t>Lost some time to understand that drug files directory was mandatory while trying each query input files.</t>
  </si>
  <si>
    <t>Checking what can be validated by the system before starting computation.</t>
  </si>
  <si>
    <t>Input validation.</t>
  </si>
  <si>
    <t>Checking what can be validated until traits.</t>
  </si>
  <si>
    <t>Lots of informations leading to some questions for next meeting.</t>
  </si>
  <si>
    <t>Q&amp;A about input validation. Request is not a mandatory input element since the CDSS will make it itself.</t>
  </si>
  <si>
    <t>Understanding the end of query from traits and query response, listing checks for validation and beginning to make a decision tree.</t>
  </si>
  <si>
    <t>Drugfile evaluation algorithm modelisation and core code analysis,</t>
  </si>
  <si>
    <t>Trying to figure out where are the covariates checked in the core (apriori nowhere).</t>
  </si>
  <si>
    <t>decision tree</t>
  </si>
  <si>
    <t>dosage, sample and targets</t>
  </si>
  <si>
    <t>Summary of query analysis, what we know at the end.</t>
  </si>
  <si>
    <t>Input validation, system behavior. Q&amp;A.</t>
  </si>
  <si>
    <t>Finalisation of the first draft of decisions.  Writing in report the checks that will be performed.</t>
  </si>
  <si>
    <t>An email has been sent to Mr.Buclin and Mrs.Guidi to ask their point of view on the checks we are planning to perform.</t>
  </si>
  <si>
    <t>Writing TuberXpert specification for 14.04 deadline, primary planning</t>
  </si>
  <si>
    <t>Documentation adjustment and decision tree</t>
  </si>
  <si>
    <t>Correctings some texts and decision tree continuation</t>
  </si>
  <si>
    <t>Trying to figure out how to correctly configure adjustmentTrait which led to questions for today's meeting,</t>
  </si>
  <si>
    <t>system behavior. Q&amp;A. Adjustment trait option can be part of our customized request. Do not use Qt object. Report will be made normally out of HTML template.</t>
  </si>
  <si>
    <t>Designing final decisions, starting protytpe of final report</t>
  </si>
  <si>
    <t>Based on flow chart of decision tree</t>
  </si>
  <si>
    <t xml:space="preserve">Writing in documentation program execution steps </t>
  </si>
  <si>
    <t xml:space="preserve">Writing  in documentation program execution steps </t>
  </si>
  <si>
    <t>decision tree, final report zoning</t>
  </si>
  <si>
    <t>Validation of adjustment request formation and report zoning</t>
  </si>
  <si>
    <t>Translator class</t>
  </si>
  <si>
    <t>Starting to implement xml translation system</t>
  </si>
  <si>
    <t>Translator class, Translator tests, Custom query xsd</t>
  </si>
  <si>
    <t>Ending to implement xml translation system and testing. 
First draft of custom query xsd</t>
  </si>
  <si>
    <t>Program argument parsing and considerations</t>
  </si>
  <si>
    <t>Consideration about how I can make a flexible program: studying abstract factory.
The idea is to generate a factory per drug and each drug could implement his specific steps.</t>
  </si>
  <si>
    <t>Research about a way to generate the report</t>
  </si>
  <si>
    <t>One way is to use a template engine:
https://github.com/pantor/inja (work with c++17) 
Very little options in c++, so tried to explore alternatives as python or javascript (For example pug)</t>
  </si>
  <si>
    <t>Query importation</t>
  </si>
  <si>
    <t>Making custom importer and data objects</t>
  </si>
  <si>
    <t>Making custom importer and data objects, lost one hour making administrative data that were already in core. ImportDocument left to go.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</si>
</sst>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C]d\ mmm\ yy;@"/>
    <numFmt numFmtId="165" formatCode="[$-F400]h:mm:ss\ AM/PM"/>
    <numFmt numFmtId="166" formatCode="hh\.mm&quot; h&quot;;@"/>
    <numFmt numFmtId="167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6" fontId="0" fillId="4" borderId="1" xfId="0" applyNumberFormat="1" applyFill="1" applyBorder="1" applyAlignment="1" applyProtection="1">
      <alignment horizontal="center" vertical="center"/>
      <protection locked="0"/>
    </xf>
    <xf numFmtId="164" fontId="0" fillId="0" borderId="2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horizontal="center" vertical="center"/>
    </xf>
    <xf numFmtId="166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descr="Add tas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53"/>
  <sheetViews>
    <sheetView tabSelected="1" zoomScaleNormal="100" workbookViewId="0">
      <selection activeCell="E5" sqref="E5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42" t="s">
        <v>26</v>
      </c>
      <c r="B1" s="42"/>
      <c r="C1" s="42"/>
      <c r="D1" s="42"/>
      <c r="E1" s="42"/>
      <c r="F1" s="42"/>
    </row>
    <row r="2" spans="1:9" s="13" customFormat="1" ht="14.25" x14ac:dyDescent="0.2">
      <c r="A2" s="42"/>
      <c r="B2" s="42"/>
      <c r="C2" s="42"/>
      <c r="D2" s="42"/>
      <c r="E2" s="42"/>
      <c r="F2" s="42"/>
    </row>
    <row r="3" spans="1:9" s="13" customFormat="1" ht="20.25" customHeight="1" x14ac:dyDescent="0.2">
      <c r="D3" s="14"/>
      <c r="E3" s="26" t="s">
        <v>10</v>
      </c>
      <c r="F3" s="25"/>
    </row>
    <row r="4" spans="1:9" s="13" customFormat="1" ht="20.25" customHeight="1" x14ac:dyDescent="0.2">
      <c r="C4" s="33" t="s">
        <v>19</v>
      </c>
      <c r="D4" s="14"/>
      <c r="E4" s="26"/>
      <c r="F4" s="25"/>
    </row>
    <row r="5" spans="1:9" s="13" customFormat="1" ht="20.25" customHeight="1" x14ac:dyDescent="0.2">
      <c r="C5" s="34">
        <f>SUM($C$10:C237)</f>
        <v>3.5381944444444446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11</v>
      </c>
      <c r="B9" s="16" t="s">
        <v>5</v>
      </c>
      <c r="C9" s="17" t="s">
        <v>18</v>
      </c>
      <c r="D9" s="15" t="s">
        <v>1</v>
      </c>
      <c r="E9" s="18" t="s">
        <v>0</v>
      </c>
      <c r="F9" s="18" t="s">
        <v>12</v>
      </c>
      <c r="H9" s="27"/>
    </row>
    <row r="10" spans="1:9" ht="30" x14ac:dyDescent="0.25">
      <c r="A10" s="35">
        <v>44674</v>
      </c>
      <c r="B10" s="22">
        <f t="shared" ref="B10" si="0">WEEKNUM(A10)</f>
        <v>17</v>
      </c>
      <c r="C10" s="36">
        <v>0.16666666666666666</v>
      </c>
      <c r="D10" s="23" t="s">
        <v>8</v>
      </c>
      <c r="E10" s="24" t="s">
        <v>82</v>
      </c>
      <c r="F10" s="24" t="s">
        <v>84</v>
      </c>
      <c r="I10" s="7"/>
    </row>
    <row r="11" spans="1:9" x14ac:dyDescent="0.25">
      <c r="A11" s="35">
        <v>44674</v>
      </c>
      <c r="B11" s="22">
        <f t="shared" ref="B11" si="1">WEEKNUM(A11)</f>
        <v>17</v>
      </c>
      <c r="C11" s="36">
        <v>8.3333333333333329E-2</v>
      </c>
      <c r="D11" s="23" t="s">
        <v>8</v>
      </c>
      <c r="E11" s="24" t="s">
        <v>82</v>
      </c>
      <c r="F11" s="24" t="s">
        <v>83</v>
      </c>
      <c r="I11" s="7"/>
    </row>
    <row r="12" spans="1:9" ht="60" x14ac:dyDescent="0.25">
      <c r="A12" s="35">
        <v>44673</v>
      </c>
      <c r="B12" s="22">
        <f t="shared" ref="B12" si="2">WEEKNUM(A12)</f>
        <v>17</v>
      </c>
      <c r="C12" s="36">
        <v>0.125</v>
      </c>
      <c r="D12" s="23" t="s">
        <v>2</v>
      </c>
      <c r="E12" s="24" t="s">
        <v>80</v>
      </c>
      <c r="F12" s="24" t="s">
        <v>81</v>
      </c>
      <c r="I12" s="7"/>
    </row>
    <row r="13" spans="1:9" ht="45" x14ac:dyDescent="0.25">
      <c r="A13" s="35">
        <v>44673</v>
      </c>
      <c r="B13" s="22">
        <f t="shared" ref="B13" si="3">WEEKNUM(A13)</f>
        <v>17</v>
      </c>
      <c r="C13" s="36">
        <v>0.10416666666666667</v>
      </c>
      <c r="D13" s="23" t="s">
        <v>8</v>
      </c>
      <c r="E13" s="24" t="s">
        <v>78</v>
      </c>
      <c r="F13" s="24" t="s">
        <v>79</v>
      </c>
      <c r="I13" s="7"/>
    </row>
    <row r="14" spans="1:9" ht="30" x14ac:dyDescent="0.25">
      <c r="A14" s="35">
        <v>44672</v>
      </c>
      <c r="B14" s="22">
        <f t="shared" ref="B14" si="4">WEEKNUM(A14)</f>
        <v>17</v>
      </c>
      <c r="C14" s="36">
        <v>0.20833333333333334</v>
      </c>
      <c r="D14" s="23" t="s">
        <v>8</v>
      </c>
      <c r="E14" s="24" t="s">
        <v>76</v>
      </c>
      <c r="F14" s="24" t="s">
        <v>77</v>
      </c>
      <c r="I14" s="7"/>
    </row>
    <row r="15" spans="1:9" x14ac:dyDescent="0.25">
      <c r="A15" s="35">
        <v>44671</v>
      </c>
      <c r="B15" s="22">
        <f t="shared" ref="B15" si="5">WEEKNUM(A15)</f>
        <v>17</v>
      </c>
      <c r="C15" s="36">
        <v>0.20833333333333334</v>
      </c>
      <c r="D15" s="23" t="s">
        <v>8</v>
      </c>
      <c r="E15" s="24" t="s">
        <v>74</v>
      </c>
      <c r="F15" s="24" t="s">
        <v>75</v>
      </c>
      <c r="I15" s="7"/>
    </row>
    <row r="16" spans="1:9" x14ac:dyDescent="0.25">
      <c r="A16" s="29">
        <v>44665</v>
      </c>
      <c r="B16" s="19">
        <f t="shared" ref="B16" si="6">WEEKNUM(A16)</f>
        <v>16</v>
      </c>
      <c r="C16" s="30">
        <v>2.7777777777777776E-2</v>
      </c>
      <c r="D16" s="20" t="s">
        <v>13</v>
      </c>
      <c r="E16" s="21" t="s">
        <v>14</v>
      </c>
      <c r="F16" s="21" t="s">
        <v>73</v>
      </c>
      <c r="I16" s="7"/>
    </row>
    <row r="17" spans="1:9" x14ac:dyDescent="0.25">
      <c r="A17" s="37">
        <v>44664</v>
      </c>
      <c r="B17" s="38">
        <f t="shared" ref="B17" si="7">WEEKNUM(A17)</f>
        <v>16</v>
      </c>
      <c r="C17" s="39">
        <v>8.3333333333333329E-2</v>
      </c>
      <c r="D17" s="40" t="s">
        <v>2</v>
      </c>
      <c r="E17" s="41" t="s">
        <v>72</v>
      </c>
      <c r="F17" s="41"/>
      <c r="I17" s="7"/>
    </row>
    <row r="18" spans="1:9" x14ac:dyDescent="0.25">
      <c r="A18" s="37">
        <v>44660</v>
      </c>
      <c r="B18" s="38">
        <f t="shared" ref="B18" si="8">WEEKNUM(A18)</f>
        <v>15</v>
      </c>
      <c r="C18" s="39">
        <v>0.10416666666666667</v>
      </c>
      <c r="D18" s="40" t="s">
        <v>4</v>
      </c>
      <c r="E18" s="41" t="s">
        <v>70</v>
      </c>
      <c r="F18" s="41" t="s">
        <v>69</v>
      </c>
      <c r="I18" s="7"/>
    </row>
    <row r="19" spans="1:9" x14ac:dyDescent="0.25">
      <c r="A19" s="37">
        <v>44659</v>
      </c>
      <c r="B19" s="38">
        <f t="shared" ref="B19" si="9">WEEKNUM(A19)</f>
        <v>15</v>
      </c>
      <c r="C19" s="39">
        <v>4.1666666666666664E-2</v>
      </c>
      <c r="D19" s="40" t="s">
        <v>4</v>
      </c>
      <c r="E19" s="41" t="s">
        <v>71</v>
      </c>
      <c r="F19" s="41" t="s">
        <v>69</v>
      </c>
      <c r="I19" s="7"/>
    </row>
    <row r="20" spans="1:9" ht="45" x14ac:dyDescent="0.25">
      <c r="A20" s="29">
        <v>44659</v>
      </c>
      <c r="B20" s="19">
        <f t="shared" ref="B20" si="10">WEEKNUM(A20)</f>
        <v>15</v>
      </c>
      <c r="C20" s="30">
        <v>4.1666666666666664E-2</v>
      </c>
      <c r="D20" s="20" t="s">
        <v>13</v>
      </c>
      <c r="E20" s="21" t="s">
        <v>14</v>
      </c>
      <c r="F20" s="21" t="s">
        <v>67</v>
      </c>
      <c r="I20" s="7"/>
    </row>
    <row r="21" spans="1:9" ht="30" x14ac:dyDescent="0.25">
      <c r="A21" s="37">
        <v>44659</v>
      </c>
      <c r="B21" s="38">
        <f t="shared" ref="B21" si="11">WEEKNUM(A21)</f>
        <v>15</v>
      </c>
      <c r="C21" s="39">
        <v>0.16666666666666666</v>
      </c>
      <c r="D21" s="40" t="s">
        <v>2</v>
      </c>
      <c r="E21" s="41" t="s">
        <v>68</v>
      </c>
      <c r="F21" s="41" t="s">
        <v>66</v>
      </c>
      <c r="I21" s="7"/>
    </row>
    <row r="22" spans="1:9" x14ac:dyDescent="0.25">
      <c r="A22" s="37">
        <v>44658</v>
      </c>
      <c r="B22" s="38">
        <f t="shared" ref="B22" si="12">WEEKNUM(A22)</f>
        <v>15</v>
      </c>
      <c r="C22" s="39">
        <v>8.3333333333333329E-2</v>
      </c>
      <c r="D22" s="40" t="s">
        <v>4</v>
      </c>
      <c r="E22" s="41" t="s">
        <v>64</v>
      </c>
      <c r="F22" s="41" t="s">
        <v>65</v>
      </c>
      <c r="I22" s="7"/>
    </row>
    <row r="23" spans="1:9" x14ac:dyDescent="0.25">
      <c r="A23" s="37">
        <v>44657</v>
      </c>
      <c r="B23" s="38">
        <f t="shared" ref="B23" si="13">WEEKNUM(A23)</f>
        <v>15</v>
      </c>
      <c r="C23" s="39">
        <v>0.11458333333333333</v>
      </c>
      <c r="D23" s="40" t="s">
        <v>4</v>
      </c>
      <c r="E23" s="41" t="s">
        <v>63</v>
      </c>
      <c r="F23" s="41"/>
      <c r="I23" s="7"/>
    </row>
    <row r="24" spans="1:9" ht="30" x14ac:dyDescent="0.25">
      <c r="A24" s="37">
        <v>44652</v>
      </c>
      <c r="B24" s="38">
        <f t="shared" ref="B24" si="14">WEEKNUM(A24)</f>
        <v>14</v>
      </c>
      <c r="C24" s="39">
        <v>0.20833333333333334</v>
      </c>
      <c r="D24" s="40" t="s">
        <v>2</v>
      </c>
      <c r="E24" s="41" t="s">
        <v>61</v>
      </c>
      <c r="F24" s="41" t="s">
        <v>62</v>
      </c>
      <c r="I24" s="7"/>
    </row>
    <row r="25" spans="1:9" x14ac:dyDescent="0.25">
      <c r="A25" s="29">
        <v>44652</v>
      </c>
      <c r="B25" s="19">
        <f t="shared" ref="B25" si="15">WEEKNUM(A25)</f>
        <v>14</v>
      </c>
      <c r="C25" s="30">
        <v>4.1666666666666664E-2</v>
      </c>
      <c r="D25" s="20" t="s">
        <v>13</v>
      </c>
      <c r="E25" s="21" t="s">
        <v>14</v>
      </c>
      <c r="F25" s="21" t="s">
        <v>60</v>
      </c>
      <c r="I25" s="7"/>
    </row>
    <row r="26" spans="1:9" x14ac:dyDescent="0.25">
      <c r="A26" s="37">
        <v>44651</v>
      </c>
      <c r="B26" s="38">
        <f t="shared" ref="B26" si="16">WEEKNUM(A26)</f>
        <v>14</v>
      </c>
      <c r="C26" s="39">
        <v>4.1666666666666664E-2</v>
      </c>
      <c r="D26" s="40" t="s">
        <v>2</v>
      </c>
      <c r="E26" s="41" t="s">
        <v>57</v>
      </c>
      <c r="F26" s="41" t="s">
        <v>59</v>
      </c>
      <c r="I26" s="7"/>
    </row>
    <row r="27" spans="1:9" x14ac:dyDescent="0.25">
      <c r="A27" s="37">
        <v>44650</v>
      </c>
      <c r="B27" s="38">
        <f t="shared" ref="B27" si="17">WEEKNUM(A27)</f>
        <v>14</v>
      </c>
      <c r="C27" s="39">
        <v>4.1666666666666664E-2</v>
      </c>
      <c r="D27" s="40" t="s">
        <v>2</v>
      </c>
      <c r="E27" s="41" t="s">
        <v>57</v>
      </c>
      <c r="F27" s="41" t="s">
        <v>58</v>
      </c>
      <c r="I27" s="7"/>
    </row>
    <row r="28" spans="1:9" ht="30" x14ac:dyDescent="0.25">
      <c r="A28" s="37">
        <v>44648</v>
      </c>
      <c r="B28" s="38">
        <f t="shared" ref="B28" si="18">WEEKNUM(A28)</f>
        <v>14</v>
      </c>
      <c r="C28" s="39">
        <v>9.375E-2</v>
      </c>
      <c r="D28" s="40" t="s">
        <v>2</v>
      </c>
      <c r="E28" s="41" t="s">
        <v>55</v>
      </c>
      <c r="F28" s="41" t="s">
        <v>56</v>
      </c>
      <c r="I28" s="7"/>
    </row>
    <row r="29" spans="1:9" ht="30" x14ac:dyDescent="0.25">
      <c r="A29" s="29">
        <v>44645</v>
      </c>
      <c r="B29" s="19">
        <f t="shared" ref="B29" si="19">WEEKNUM(A29)</f>
        <v>13</v>
      </c>
      <c r="C29" s="30">
        <v>4.1666666666666664E-2</v>
      </c>
      <c r="D29" s="20" t="s">
        <v>13</v>
      </c>
      <c r="E29" s="21" t="s">
        <v>14</v>
      </c>
      <c r="F29" s="21" t="s">
        <v>53</v>
      </c>
      <c r="I29" s="7"/>
    </row>
    <row r="30" spans="1:9" ht="30" x14ac:dyDescent="0.25">
      <c r="A30" s="35">
        <v>44645</v>
      </c>
      <c r="B30" s="22">
        <f t="shared" ref="B30" si="20">WEEKNUM(A30)</f>
        <v>13</v>
      </c>
      <c r="C30" s="36">
        <v>0.20833333333333334</v>
      </c>
      <c r="D30" s="23" t="s">
        <v>2</v>
      </c>
      <c r="E30" s="24" t="s">
        <v>54</v>
      </c>
      <c r="F30" s="24" t="s">
        <v>52</v>
      </c>
      <c r="I30" s="7"/>
    </row>
    <row r="31" spans="1:9" x14ac:dyDescent="0.25">
      <c r="A31" s="35">
        <v>44644</v>
      </c>
      <c r="B31" s="22">
        <f t="shared" ref="B31" si="21">WEEKNUM(A31)</f>
        <v>13</v>
      </c>
      <c r="C31" s="36">
        <v>8.3333333333333329E-2</v>
      </c>
      <c r="D31" s="23" t="s">
        <v>2</v>
      </c>
      <c r="E31" s="24" t="s">
        <v>50</v>
      </c>
      <c r="F31" s="24" t="s">
        <v>51</v>
      </c>
      <c r="I31" s="7"/>
    </row>
    <row r="32" spans="1:9" x14ac:dyDescent="0.25">
      <c r="A32" s="35">
        <v>44643</v>
      </c>
      <c r="B32" s="22">
        <f t="shared" ref="B32" si="22">WEEKNUM(A32)</f>
        <v>13</v>
      </c>
      <c r="C32" s="36">
        <v>7.2916666666666671E-2</v>
      </c>
      <c r="D32" s="23" t="s">
        <v>2</v>
      </c>
      <c r="E32" s="24" t="s">
        <v>50</v>
      </c>
      <c r="F32" s="24" t="s">
        <v>49</v>
      </c>
      <c r="I32" s="7"/>
    </row>
    <row r="33" spans="1:9" ht="30" x14ac:dyDescent="0.25">
      <c r="A33" s="35">
        <v>44641</v>
      </c>
      <c r="B33" s="22">
        <f t="shared" ref="B33" si="23">WEEKNUM(A33)</f>
        <v>13</v>
      </c>
      <c r="C33" s="36">
        <v>4.1666666666666664E-2</v>
      </c>
      <c r="D33" s="23" t="s">
        <v>2</v>
      </c>
      <c r="E33" s="24" t="s">
        <v>47</v>
      </c>
      <c r="F33" s="24" t="s">
        <v>48</v>
      </c>
      <c r="I33" s="7"/>
    </row>
    <row r="34" spans="1:9" ht="30" x14ac:dyDescent="0.25">
      <c r="A34" s="29">
        <v>44631</v>
      </c>
      <c r="B34" s="19">
        <f t="shared" ref="B34" si="24">WEEKNUM(A34)</f>
        <v>11</v>
      </c>
      <c r="C34" s="30">
        <v>2.0833333333333332E-2</v>
      </c>
      <c r="D34" s="20" t="s">
        <v>13</v>
      </c>
      <c r="E34" s="21" t="s">
        <v>14</v>
      </c>
      <c r="F34" s="21" t="s">
        <v>46</v>
      </c>
      <c r="I34" s="7"/>
    </row>
    <row r="35" spans="1:9" x14ac:dyDescent="0.25">
      <c r="A35" s="35">
        <v>44631</v>
      </c>
      <c r="B35" s="22">
        <f t="shared" ref="B35" si="25">WEEKNUM(A35)</f>
        <v>11</v>
      </c>
      <c r="C35" s="36">
        <v>4.1666666666666664E-2</v>
      </c>
      <c r="D35" s="23" t="s">
        <v>8</v>
      </c>
      <c r="E35" s="24" t="s">
        <v>41</v>
      </c>
      <c r="F35" s="24" t="s">
        <v>42</v>
      </c>
      <c r="I35" s="7"/>
    </row>
    <row r="36" spans="1:9" ht="30" x14ac:dyDescent="0.25">
      <c r="A36" s="35">
        <v>44631</v>
      </c>
      <c r="B36" s="22">
        <f t="shared" ref="B36" si="26">WEEKNUM(A36)</f>
        <v>11</v>
      </c>
      <c r="C36" s="36">
        <v>7.2916666666666671E-2</v>
      </c>
      <c r="D36" s="23" t="s">
        <v>4</v>
      </c>
      <c r="E36" s="24" t="s">
        <v>40</v>
      </c>
      <c r="F36" s="24"/>
      <c r="I36" s="7"/>
    </row>
    <row r="37" spans="1:9" ht="45" x14ac:dyDescent="0.25">
      <c r="A37" s="35">
        <v>44631</v>
      </c>
      <c r="B37" s="22">
        <f t="shared" ref="B37" si="27">WEEKNUM(A37)</f>
        <v>11</v>
      </c>
      <c r="C37" s="36">
        <v>0.14583333333333334</v>
      </c>
      <c r="D37" s="23" t="s">
        <v>2</v>
      </c>
      <c r="E37" s="24" t="s">
        <v>44</v>
      </c>
      <c r="F37" s="24" t="s">
        <v>45</v>
      </c>
      <c r="I37" s="7"/>
    </row>
    <row r="38" spans="1:9" x14ac:dyDescent="0.25">
      <c r="A38" s="35">
        <v>44630</v>
      </c>
      <c r="B38" s="22">
        <f t="shared" ref="B38" si="28">WEEKNUM(A38)</f>
        <v>11</v>
      </c>
      <c r="C38" s="36">
        <v>3.125E-2</v>
      </c>
      <c r="D38" s="23" t="s">
        <v>2</v>
      </c>
      <c r="E38" s="24" t="s">
        <v>36</v>
      </c>
      <c r="F38" s="24" t="s">
        <v>37</v>
      </c>
      <c r="I38" s="7"/>
    </row>
    <row r="39" spans="1:9" x14ac:dyDescent="0.25">
      <c r="A39" s="35">
        <v>44630</v>
      </c>
      <c r="B39" s="22">
        <f t="shared" ref="B39" si="29">WEEKNUM(A39)</f>
        <v>11</v>
      </c>
      <c r="C39" s="36">
        <v>3.125E-2</v>
      </c>
      <c r="D39" s="23" t="s">
        <v>4</v>
      </c>
      <c r="E39" s="24" t="s">
        <v>38</v>
      </c>
      <c r="F39" s="24" t="s">
        <v>39</v>
      </c>
      <c r="I39" s="7"/>
    </row>
    <row r="40" spans="1:9" x14ac:dyDescent="0.25">
      <c r="A40" s="35">
        <v>44627</v>
      </c>
      <c r="B40" s="22">
        <f t="shared" ref="B40" si="30">WEEKNUM(A40)</f>
        <v>11</v>
      </c>
      <c r="C40" s="36">
        <v>3.125E-2</v>
      </c>
      <c r="D40" s="23" t="s">
        <v>2</v>
      </c>
      <c r="E40" s="24" t="s">
        <v>35</v>
      </c>
      <c r="F40" s="24"/>
      <c r="I40" s="7"/>
    </row>
    <row r="41" spans="1:9" x14ac:dyDescent="0.25">
      <c r="A41" s="35">
        <v>44625</v>
      </c>
      <c r="B41" s="22">
        <f t="shared" ref="B41" si="31">WEEKNUM(A41)</f>
        <v>10</v>
      </c>
      <c r="C41" s="36">
        <v>6.25E-2</v>
      </c>
      <c r="D41" s="23" t="s">
        <v>8</v>
      </c>
      <c r="E41" s="24" t="s">
        <v>33</v>
      </c>
      <c r="F41" s="24" t="s">
        <v>34</v>
      </c>
      <c r="I41" s="7"/>
    </row>
    <row r="42" spans="1:9" ht="30" x14ac:dyDescent="0.25">
      <c r="A42" s="35">
        <v>44624</v>
      </c>
      <c r="B42" s="22">
        <f t="shared" ref="B42" si="32">WEEKNUM(A42)</f>
        <v>10</v>
      </c>
      <c r="C42" s="36">
        <v>6.25E-2</v>
      </c>
      <c r="D42" s="23" t="s">
        <v>8</v>
      </c>
      <c r="E42" s="24" t="s">
        <v>31</v>
      </c>
      <c r="F42" s="24" t="s">
        <v>32</v>
      </c>
      <c r="I42" s="7"/>
    </row>
    <row r="43" spans="1:9" x14ac:dyDescent="0.25">
      <c r="A43" s="35">
        <v>44624</v>
      </c>
      <c r="B43" s="22">
        <f t="shared" ref="B43" si="33">WEEKNUM(A43)</f>
        <v>10</v>
      </c>
      <c r="C43" s="36">
        <v>0.125</v>
      </c>
      <c r="D43" s="23" t="s">
        <v>4</v>
      </c>
      <c r="E43" s="24" t="s">
        <v>29</v>
      </c>
      <c r="F43" s="24" t="s">
        <v>30</v>
      </c>
      <c r="I43" s="7"/>
    </row>
    <row r="44" spans="1:9" x14ac:dyDescent="0.25">
      <c r="A44" s="35">
        <v>44624</v>
      </c>
      <c r="B44" s="22">
        <f t="shared" ref="B44" si="34">WEEKNUM(A44)</f>
        <v>10</v>
      </c>
      <c r="C44" s="36">
        <v>4.1666666666666664E-2</v>
      </c>
      <c r="D44" s="23" t="s">
        <v>4</v>
      </c>
      <c r="E44" s="24" t="s">
        <v>27</v>
      </c>
      <c r="F44" s="24" t="s">
        <v>28</v>
      </c>
      <c r="I44" s="7"/>
    </row>
    <row r="45" spans="1:9" x14ac:dyDescent="0.25">
      <c r="A45" s="35">
        <v>44624</v>
      </c>
      <c r="B45" s="22">
        <f t="shared" ref="B45" si="35">WEEKNUM(A45)</f>
        <v>10</v>
      </c>
      <c r="C45" s="36">
        <v>4.1666666666666664E-2</v>
      </c>
      <c r="D45" s="23" t="s">
        <v>4</v>
      </c>
      <c r="E45" s="24" t="s">
        <v>20</v>
      </c>
      <c r="F45" s="24"/>
      <c r="I45" s="7"/>
    </row>
    <row r="46" spans="1:9" ht="90" x14ac:dyDescent="0.25">
      <c r="A46" s="29">
        <v>44623</v>
      </c>
      <c r="B46" s="19">
        <f t="shared" ref="B46" si="36">WEEKNUM(A46)</f>
        <v>10</v>
      </c>
      <c r="C46" s="30">
        <v>2.0833333333333332E-2</v>
      </c>
      <c r="D46" s="20" t="s">
        <v>13</v>
      </c>
      <c r="E46" s="21" t="s">
        <v>14</v>
      </c>
      <c r="F46" s="21" t="s">
        <v>43</v>
      </c>
      <c r="I46" s="7"/>
    </row>
    <row r="47" spans="1:9" ht="45" x14ac:dyDescent="0.25">
      <c r="A47" s="35">
        <v>44622</v>
      </c>
      <c r="B47" s="22"/>
      <c r="C47" s="36">
        <v>4.1666666666666664E-2</v>
      </c>
      <c r="D47" s="23" t="s">
        <v>21</v>
      </c>
      <c r="E47" s="24" t="s">
        <v>24</v>
      </c>
      <c r="F47" s="24" t="s">
        <v>25</v>
      </c>
      <c r="I47" s="7"/>
    </row>
    <row r="48" spans="1:9" ht="60" x14ac:dyDescent="0.25">
      <c r="A48" s="35">
        <v>44619</v>
      </c>
      <c r="B48" s="22"/>
      <c r="C48" s="36">
        <v>8.3333333333333329E-2</v>
      </c>
      <c r="D48" s="23" t="s">
        <v>21</v>
      </c>
      <c r="E48" s="24" t="s">
        <v>23</v>
      </c>
      <c r="F48" s="24" t="s">
        <v>22</v>
      </c>
      <c r="I48" s="7"/>
    </row>
    <row r="49" spans="1:9" x14ac:dyDescent="0.25">
      <c r="A49" s="28">
        <v>44617</v>
      </c>
      <c r="B49" s="10">
        <f t="shared" ref="B49" si="37">WEEKNUM(A49)</f>
        <v>9</v>
      </c>
      <c r="C49" s="31">
        <v>0.16666666666666666</v>
      </c>
      <c r="D49" s="5" t="s">
        <v>13</v>
      </c>
      <c r="E49" s="6" t="s">
        <v>15</v>
      </c>
      <c r="F49" s="6" t="s">
        <v>16</v>
      </c>
      <c r="I49" s="7"/>
    </row>
    <row r="50" spans="1:9" ht="90" x14ac:dyDescent="0.25">
      <c r="A50" s="29">
        <v>44616</v>
      </c>
      <c r="B50" s="19">
        <f t="shared" ref="B50" si="38">WEEKNUM(A50)</f>
        <v>9</v>
      </c>
      <c r="C50" s="30">
        <v>8.3333333333333329E-2</v>
      </c>
      <c r="D50" s="20" t="s">
        <v>13</v>
      </c>
      <c r="E50" s="21" t="s">
        <v>14</v>
      </c>
      <c r="F50" s="21" t="s">
        <v>17</v>
      </c>
      <c r="I50" s="7"/>
    </row>
    <row r="51" spans="1:9" x14ac:dyDescent="0.25">
      <c r="A51" s="12"/>
      <c r="I51" s="7"/>
    </row>
    <row r="53" spans="1:9" x14ac:dyDescent="0.25">
      <c r="C53" s="32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8" sqref="D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2</v>
      </c>
    </row>
    <row r="3" spans="1:1" x14ac:dyDescent="0.25">
      <c r="A3" t="s">
        <v>13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s="1" t="s">
        <v>8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2022-04-24T18:26:01Z</dcterms:modified>
</cp:coreProperties>
</file>