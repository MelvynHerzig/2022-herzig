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filterPrivacy="1" codeName="ThisWorkbook" hidePivotFieldList="1"/>
  <xr:revisionPtr revIDLastSave="0" documentId="13_ncr:1_{6AF0DA32-F285-4B3F-9CEA-A17C1001DB24}" xr6:coauthVersionLast="47" xr6:coauthVersionMax="47" xr10:uidLastSave="{00000000-0000-0000-0000-000000000000}"/>
  <bookViews>
    <workbookView xWindow="2295" yWindow="1380" windowWidth="26505" windowHeight="14100" xr2:uid="{00000000-000D-0000-FFFF-FFFF00000000}"/>
  </bookViews>
  <sheets>
    <sheet name="Journal" sheetId="1" r:id="rId1"/>
    <sheet name="Parameters" sheetId="2" r:id="rId2"/>
  </sheets>
  <definedNames>
    <definedName name="base">Journal!$A$9</definedName>
  </definedNames>
  <calcPr calcId="191029" concurrentCalc="0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5" i="1" l="1"/>
  <c r="B10" i="1"/>
  <c r="B11" i="1"/>
  <c r="B12" i="1"/>
  <c r="B13" i="1"/>
  <c r="B14" i="1"/>
  <c r="B15" i="1"/>
  <c r="B16" i="1"/>
  <c r="B17" i="1"/>
  <c r="B18" i="1"/>
  <c r="B19" i="1"/>
  <c r="B20" i="1"/>
  <c r="B21" i="1"/>
  <c r="B24" i="1"/>
  <c r="B25" i="1"/>
</calcChain>
</file>

<file path=xl/sharedStrings.xml><?xml version="1.0" encoding="utf-8"?>
<sst xmlns="http://schemas.openxmlformats.org/spreadsheetml/2006/main" count="63" uniqueCount="46">
  <si>
    <t>Description</t>
  </si>
  <si>
    <t>Type</t>
  </si>
  <si>
    <t>Analyse</t>
  </si>
  <si>
    <t>Tests</t>
  </si>
  <si>
    <t>Documentation</t>
  </si>
  <si>
    <t>Semaine</t>
  </si>
  <si>
    <t>Shipping</t>
  </si>
  <si>
    <t>Maintenance</t>
  </si>
  <si>
    <t>Implementation</t>
  </si>
  <si>
    <t>Tasks</t>
  </si>
  <si>
    <t>Made by: Herzig Melvyn</t>
  </si>
  <si>
    <t>Date</t>
  </si>
  <si>
    <t>Comments</t>
  </si>
  <si>
    <t>Meeting</t>
  </si>
  <si>
    <t>Weekly meeting with Prof. Yann Thoma</t>
  </si>
  <si>
    <t>Visit of CHUV (pharmacology) by Thierry Buclin</t>
  </si>
  <si>
    <t>A l'issu de cet entretien, les première tâche a réalisée sont connue:
At the end of the meeting, the following tasks must be done in the near future
- Introduction writing
- Guess at the software specification
- Guess at the software behavior (decision tree)
- Compile a first QT program that talks with tucuxi core</t>
  </si>
  <si>
    <t xml:space="preserve"> Theoritical presentation of TDM and demonstration of the complete process</t>
  </si>
  <si>
    <t>Tucuxi and pharmacology introduction.
Main tasks:
- Read both old TB 
- Read scientific documentation provided
- Compile Tucucore</t>
  </si>
  <si>
    <t>Time</t>
  </si>
  <si>
    <t>Total</t>
  </si>
  <si>
    <t>Work diary creation</t>
  </si>
  <si>
    <t>Setup</t>
  </si>
  <si>
    <t>I was confused about the type of IDE I was supposed to use. My first attempt was to use VS22 because I noticed a sln file. The problem was that the solution was for VS15. I installed it but it did not work aswell. QT was failing aswell because some preprocessor code was not noticing that I was running under Windows.</t>
  </si>
  <si>
    <t>Development environment setup and core compilation (failing)</t>
  </si>
  <si>
    <t xml:space="preserve">Core compilation (success) </t>
  </si>
  <si>
    <t>After a conversation with Prof. Yann Thoma who corrected some problems, the compilation under Windows with QT + MinGW is now succesfull. But there is 940 compiler warnings.</t>
  </si>
  <si>
    <t>TB: TuberXpert</t>
  </si>
  <si>
    <t>Updating TB word documentation in english</t>
  </si>
  <si>
    <t xml:space="preserve">The original document was written in French </t>
  </si>
  <si>
    <t>Writing thesis introduction</t>
  </si>
  <si>
    <t>Covered the following topics: TDM, Tanzania, and TuberXpert</t>
  </si>
  <si>
    <t>Setting up hello word</t>
  </si>
  <si>
    <t>Probleme with Cmake, had to switch to Qmake (no configuration needed).
Additionnal time has been used to search the best way to execute tucuxi-core</t>
  </si>
  <si>
    <t>Connecting tuberXpert to exe from tucucli</t>
  </si>
  <si>
    <t>I managed to do a meta project which is formed by tuberXpert and tucucli,</t>
  </si>
  <si>
    <t>First draft of application flow/main components</t>
  </si>
  <si>
    <t>Reading parts of Tucucli doc.</t>
  </si>
  <si>
    <t>Used to get a first step in understanding query xml structure</t>
  </si>
  <si>
    <t>Software requierments</t>
  </si>
  <si>
    <t>Based on SciencePart_Thoma.pdf</t>
  </si>
  <si>
    <t>Reading tucucli code,</t>
  </si>
  <si>
    <t>Reading what happens in tucucli, everything just before real computation starts.</t>
  </si>
  <si>
    <t>First approach to query/drug file and considerations</t>
  </si>
  <si>
    <t xml:space="preserve">How to validate query, certify that the data are good. Attempt to decide how to chose a drug file based on a query file. </t>
  </si>
  <si>
    <t>Correcting software needs and application global flow. Beginning of technology choices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</si>
</sst>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100C]d\ mmm\ yy;@"/>
    <numFmt numFmtId="165" formatCode="[$-F400]h:mm:ss\ AM/PM"/>
    <numFmt numFmtId="166" formatCode="hh\.mm&quot; h&quot;;@"/>
    <numFmt numFmtId="167" formatCode="\ [h]:mm;@"/>
  </numFmts>
  <fonts count="7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  <font>
      <b/>
      <sz val="1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/>
    <xf numFmtId="0" fontId="1" fillId="2" borderId="1" xfId="0" applyFont="1" applyFill="1" applyBorder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" fontId="0" fillId="3" borderId="1" xfId="0" applyNumberForma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left" vertical="center" wrapText="1"/>
      <protection locked="0"/>
    </xf>
    <xf numFmtId="1" fontId="0" fillId="4" borderId="1" xfId="0" applyNumberFormat="1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left" vertical="center" wrapText="1"/>
      <protection locked="0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vertical="center"/>
    </xf>
    <xf numFmtId="2" fontId="0" fillId="0" borderId="0" xfId="0" applyNumberFormat="1" applyProtection="1">
      <protection locked="0"/>
    </xf>
    <xf numFmtId="164" fontId="0" fillId="0" borderId="2" xfId="0" applyNumberFormat="1" applyBorder="1" applyAlignment="1" applyProtection="1">
      <alignment horizontal="center" vertical="center"/>
      <protection locked="0"/>
    </xf>
    <xf numFmtId="164" fontId="0" fillId="3" borderId="2" xfId="0" applyNumberFormat="1" applyFill="1" applyBorder="1" applyAlignment="1" applyProtection="1">
      <alignment horizontal="center" vertical="center"/>
      <protection locked="0"/>
    </xf>
    <xf numFmtId="166" fontId="0" fillId="3" borderId="1" xfId="0" applyNumberFormat="1" applyFill="1" applyBorder="1" applyAlignment="1" applyProtection="1">
      <alignment horizontal="center" vertical="center"/>
      <protection locked="0"/>
    </xf>
    <xf numFmtId="166" fontId="0" fillId="0" borderId="1" xfId="0" applyNumberFormat="1" applyBorder="1" applyAlignment="1" applyProtection="1">
      <alignment horizontal="center" vertical="center"/>
      <protection locked="0"/>
    </xf>
    <xf numFmtId="165" fontId="0" fillId="0" borderId="0" xfId="0" applyNumberFormat="1" applyAlignment="1" applyProtection="1">
      <alignment horizontal="center" vertical="center"/>
      <protection locked="0"/>
    </xf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164" fontId="0" fillId="4" borderId="2" xfId="0" applyNumberFormat="1" applyFill="1" applyBorder="1" applyAlignment="1" applyProtection="1">
      <alignment horizontal="center" vertical="center"/>
      <protection locked="0"/>
    </xf>
    <xf numFmtId="166" fontId="0" fillId="4" borderId="1" xfId="0" applyNumberFormat="1" applyFill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38100</xdr:rowOff>
        </xdr:from>
        <xdr:to>
          <xdr:col>0</xdr:col>
          <xdr:colOff>752475</xdr:colOff>
          <xdr:row>7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Add entry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9</xdr:row>
          <xdr:rowOff>28575</xdr:rowOff>
        </xdr:from>
        <xdr:to>
          <xdr:col>0</xdr:col>
          <xdr:colOff>990600</xdr:colOff>
          <xdr:row>10</xdr:row>
          <xdr:rowOff>76200</xdr:rowOff>
        </xdr:to>
        <xdr:sp macro="" textlink="">
          <xdr:nvSpPr>
            <xdr:cNvPr id="3073" name="Button 1" descr="Add task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Add task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28"/>
  <sheetViews>
    <sheetView tabSelected="1" topLeftCell="A4" zoomScaleNormal="100" workbookViewId="0">
      <selection activeCell="C7" sqref="C7"/>
    </sheetView>
  </sheetViews>
  <sheetFormatPr baseColWidth="10" defaultColWidth="9.140625" defaultRowHeight="15" x14ac:dyDescent="0.25"/>
  <cols>
    <col min="1" max="1" width="12" style="3" customWidth="1"/>
    <col min="2" max="2" width="12.140625" style="11" hidden="1" customWidth="1"/>
    <col min="3" max="3" width="9.28515625" style="8" customWidth="1"/>
    <col min="4" max="4" width="18.140625" style="3" customWidth="1"/>
    <col min="5" max="5" width="65.7109375" style="9" customWidth="1"/>
    <col min="6" max="6" width="75.140625" style="9" customWidth="1"/>
    <col min="7" max="16384" width="9.140625" style="4"/>
  </cols>
  <sheetData>
    <row r="1" spans="1:9" s="13" customFormat="1" ht="14.1" customHeight="1" x14ac:dyDescent="0.2">
      <c r="A1" s="37" t="s">
        <v>27</v>
      </c>
      <c r="B1" s="37"/>
      <c r="C1" s="37"/>
      <c r="D1" s="37"/>
      <c r="E1" s="37"/>
      <c r="F1" s="37"/>
    </row>
    <row r="2" spans="1:9" s="13" customFormat="1" ht="14.25" x14ac:dyDescent="0.2">
      <c r="A2" s="37"/>
      <c r="B2" s="37"/>
      <c r="C2" s="37"/>
      <c r="D2" s="37"/>
      <c r="E2" s="37"/>
      <c r="F2" s="37"/>
    </row>
    <row r="3" spans="1:9" s="13" customFormat="1" ht="20.25" customHeight="1" x14ac:dyDescent="0.2">
      <c r="D3" s="14"/>
      <c r="E3" s="26" t="s">
        <v>10</v>
      </c>
      <c r="F3" s="25"/>
    </row>
    <row r="4" spans="1:9" s="13" customFormat="1" ht="20.25" customHeight="1" x14ac:dyDescent="0.2">
      <c r="C4" s="33" t="s">
        <v>20</v>
      </c>
      <c r="D4" s="14"/>
      <c r="E4" s="26"/>
      <c r="F4" s="25"/>
    </row>
    <row r="5" spans="1:9" s="13" customFormat="1" ht="20.25" customHeight="1" x14ac:dyDescent="0.2">
      <c r="C5" s="34">
        <f>SUM($C$10:C212)</f>
        <v>1.0416666666666665</v>
      </c>
      <c r="D5" s="14"/>
      <c r="E5" s="26"/>
      <c r="F5" s="25"/>
    </row>
    <row r="6" spans="1:9" s="13" customFormat="1" ht="20.25" customHeight="1" x14ac:dyDescent="0.2">
      <c r="D6" s="14"/>
      <c r="E6" s="26"/>
      <c r="F6" s="25"/>
    </row>
    <row r="9" spans="1:9" ht="24" customHeight="1" x14ac:dyDescent="0.25">
      <c r="A9" s="15" t="s">
        <v>11</v>
      </c>
      <c r="B9" s="16" t="s">
        <v>5</v>
      </c>
      <c r="C9" s="17" t="s">
        <v>19</v>
      </c>
      <c r="D9" s="15" t="s">
        <v>1</v>
      </c>
      <c r="E9" s="18" t="s">
        <v>0</v>
      </c>
      <c r="F9" s="18" t="s">
        <v>12</v>
      </c>
      <c r="H9" s="27"/>
    </row>
    <row r="10" spans="1:9" ht="30" x14ac:dyDescent="0.25">
      <c r="A10" s="35">
        <v>44631</v>
      </c>
      <c r="B10" s="22">
        <f t="shared" ref="B10" si="0">WEEKNUM(A10)</f>
        <v>11</v>
      </c>
      <c r="C10" s="36">
        <v>7.2916666666666671E-2</v>
      </c>
      <c r="D10" s="23" t="s">
        <v>4</v>
      </c>
      <c r="E10" s="24" t="s">
        <v>45</v>
      </c>
      <c r="F10" s="24"/>
      <c r="I10" s="7"/>
    </row>
    <row r="11" spans="1:9" ht="30" x14ac:dyDescent="0.25">
      <c r="A11" s="35">
        <v>44631</v>
      </c>
      <c r="B11" s="22">
        <f t="shared" ref="B11" si="1">WEEKNUM(A11)</f>
        <v>11</v>
      </c>
      <c r="C11" s="36">
        <v>8.3333333333333329E-2</v>
      </c>
      <c r="D11" s="23" t="s">
        <v>2</v>
      </c>
      <c r="E11" s="24" t="s">
        <v>43</v>
      </c>
      <c r="F11" s="24" t="s">
        <v>44</v>
      </c>
      <c r="I11" s="7"/>
    </row>
    <row r="12" spans="1:9" x14ac:dyDescent="0.25">
      <c r="A12" s="35">
        <v>44631</v>
      </c>
      <c r="B12" s="22">
        <f t="shared" ref="B12" si="2">WEEKNUM(A12)</f>
        <v>11</v>
      </c>
      <c r="C12" s="36">
        <v>6.25E-2</v>
      </c>
      <c r="D12" s="23" t="s">
        <v>2</v>
      </c>
      <c r="E12" s="24" t="s">
        <v>41</v>
      </c>
      <c r="F12" s="24" t="s">
        <v>42</v>
      </c>
      <c r="I12" s="7"/>
    </row>
    <row r="13" spans="1:9" x14ac:dyDescent="0.25">
      <c r="A13" s="35">
        <v>44630</v>
      </c>
      <c r="B13" s="22">
        <f t="shared" ref="B13" si="3">WEEKNUM(A13)</f>
        <v>11</v>
      </c>
      <c r="C13" s="36">
        <v>3.125E-2</v>
      </c>
      <c r="D13" s="23" t="s">
        <v>2</v>
      </c>
      <c r="E13" s="24" t="s">
        <v>37</v>
      </c>
      <c r="F13" s="24" t="s">
        <v>38</v>
      </c>
      <c r="I13" s="7"/>
    </row>
    <row r="14" spans="1:9" x14ac:dyDescent="0.25">
      <c r="A14" s="35">
        <v>44630</v>
      </c>
      <c r="B14" s="22">
        <f t="shared" ref="B14" si="4">WEEKNUM(A14)</f>
        <v>11</v>
      </c>
      <c r="C14" s="36">
        <v>3.125E-2</v>
      </c>
      <c r="D14" s="23" t="s">
        <v>4</v>
      </c>
      <c r="E14" s="24" t="s">
        <v>39</v>
      </c>
      <c r="F14" s="24" t="s">
        <v>40</v>
      </c>
      <c r="I14" s="7"/>
    </row>
    <row r="15" spans="1:9" x14ac:dyDescent="0.25">
      <c r="A15" s="35">
        <v>44627</v>
      </c>
      <c r="B15" s="22">
        <f t="shared" ref="B15" si="5">WEEKNUM(A15)</f>
        <v>11</v>
      </c>
      <c r="C15" s="36">
        <v>3.125E-2</v>
      </c>
      <c r="D15" s="23" t="s">
        <v>2</v>
      </c>
      <c r="E15" s="24" t="s">
        <v>36</v>
      </c>
      <c r="F15" s="24"/>
      <c r="I15" s="7"/>
    </row>
    <row r="16" spans="1:9" x14ac:dyDescent="0.25">
      <c r="A16" s="35">
        <v>44625</v>
      </c>
      <c r="B16" s="22">
        <f t="shared" ref="B16" si="6">WEEKNUM(A16)</f>
        <v>10</v>
      </c>
      <c r="C16" s="36">
        <v>6.25E-2</v>
      </c>
      <c r="D16" s="23" t="s">
        <v>8</v>
      </c>
      <c r="E16" s="24" t="s">
        <v>34</v>
      </c>
      <c r="F16" s="24" t="s">
        <v>35</v>
      </c>
      <c r="I16" s="7"/>
    </row>
    <row r="17" spans="1:9" ht="30" x14ac:dyDescent="0.25">
      <c r="A17" s="35">
        <v>44624</v>
      </c>
      <c r="B17" s="22">
        <f t="shared" ref="B17" si="7">WEEKNUM(A17)</f>
        <v>10</v>
      </c>
      <c r="C17" s="36">
        <v>6.25E-2</v>
      </c>
      <c r="D17" s="23" t="s">
        <v>8</v>
      </c>
      <c r="E17" s="24" t="s">
        <v>32</v>
      </c>
      <c r="F17" s="24" t="s">
        <v>33</v>
      </c>
      <c r="I17" s="7"/>
    </row>
    <row r="18" spans="1:9" x14ac:dyDescent="0.25">
      <c r="A18" s="35">
        <v>44624</v>
      </c>
      <c r="B18" s="22">
        <f t="shared" ref="B18" si="8">WEEKNUM(A18)</f>
        <v>10</v>
      </c>
      <c r="C18" s="36">
        <v>0.125</v>
      </c>
      <c r="D18" s="23" t="s">
        <v>4</v>
      </c>
      <c r="E18" s="24" t="s">
        <v>30</v>
      </c>
      <c r="F18" s="24" t="s">
        <v>31</v>
      </c>
      <c r="I18" s="7"/>
    </row>
    <row r="19" spans="1:9" x14ac:dyDescent="0.25">
      <c r="A19" s="35">
        <v>44624</v>
      </c>
      <c r="B19" s="22">
        <f t="shared" ref="B19" si="9">WEEKNUM(A19)</f>
        <v>10</v>
      </c>
      <c r="C19" s="36">
        <v>4.1666666666666664E-2</v>
      </c>
      <c r="D19" s="23" t="s">
        <v>4</v>
      </c>
      <c r="E19" s="24" t="s">
        <v>28</v>
      </c>
      <c r="F19" s="24" t="s">
        <v>29</v>
      </c>
      <c r="I19" s="7"/>
    </row>
    <row r="20" spans="1:9" x14ac:dyDescent="0.25">
      <c r="A20" s="35">
        <v>44624</v>
      </c>
      <c r="B20" s="22">
        <f t="shared" ref="B20" si="10">WEEKNUM(A20)</f>
        <v>10</v>
      </c>
      <c r="C20" s="36">
        <v>4.1666666666666664E-2</v>
      </c>
      <c r="D20" s="23" t="s">
        <v>4</v>
      </c>
      <c r="E20" s="24" t="s">
        <v>21</v>
      </c>
      <c r="F20" s="24"/>
      <c r="I20" s="7"/>
    </row>
    <row r="21" spans="1:9" ht="105" x14ac:dyDescent="0.25">
      <c r="A21" s="29">
        <v>44623</v>
      </c>
      <c r="B21" s="19">
        <f t="shared" ref="B21" si="11">WEEKNUM(A21)</f>
        <v>10</v>
      </c>
      <c r="C21" s="30">
        <v>2.0833333333333332E-2</v>
      </c>
      <c r="D21" s="20" t="s">
        <v>13</v>
      </c>
      <c r="E21" s="21" t="s">
        <v>14</v>
      </c>
      <c r="F21" s="21" t="s">
        <v>16</v>
      </c>
      <c r="I21" s="7"/>
    </row>
    <row r="22" spans="1:9" ht="45" x14ac:dyDescent="0.25">
      <c r="A22" s="35">
        <v>44622</v>
      </c>
      <c r="B22" s="22"/>
      <c r="C22" s="36">
        <v>4.1666666666666664E-2</v>
      </c>
      <c r="D22" s="23" t="s">
        <v>22</v>
      </c>
      <c r="E22" s="24" t="s">
        <v>25</v>
      </c>
      <c r="F22" s="24" t="s">
        <v>26</v>
      </c>
      <c r="I22" s="7"/>
    </row>
    <row r="23" spans="1:9" ht="60" x14ac:dyDescent="0.25">
      <c r="A23" s="35">
        <v>44619</v>
      </c>
      <c r="B23" s="22"/>
      <c r="C23" s="36">
        <v>8.3333333333333329E-2</v>
      </c>
      <c r="D23" s="23" t="s">
        <v>22</v>
      </c>
      <c r="E23" s="24" t="s">
        <v>24</v>
      </c>
      <c r="F23" s="24" t="s">
        <v>23</v>
      </c>
      <c r="I23" s="7"/>
    </row>
    <row r="24" spans="1:9" x14ac:dyDescent="0.25">
      <c r="A24" s="28">
        <v>44617</v>
      </c>
      <c r="B24" s="10">
        <f t="shared" ref="B24" si="12">WEEKNUM(A24)</f>
        <v>9</v>
      </c>
      <c r="C24" s="31">
        <v>0.16666666666666666</v>
      </c>
      <c r="D24" s="5" t="s">
        <v>13</v>
      </c>
      <c r="E24" s="6" t="s">
        <v>15</v>
      </c>
      <c r="F24" s="6" t="s">
        <v>17</v>
      </c>
      <c r="I24" s="7"/>
    </row>
    <row r="25" spans="1:9" ht="90" x14ac:dyDescent="0.25">
      <c r="A25" s="29">
        <v>44616</v>
      </c>
      <c r="B25" s="19">
        <f t="shared" ref="B25" si="13">WEEKNUM(A25)</f>
        <v>9</v>
      </c>
      <c r="C25" s="30">
        <v>8.3333333333333329E-2</v>
      </c>
      <c r="D25" s="20" t="s">
        <v>13</v>
      </c>
      <c r="E25" s="21" t="s">
        <v>14</v>
      </c>
      <c r="F25" s="21" t="s">
        <v>18</v>
      </c>
      <c r="I25" s="7"/>
    </row>
    <row r="26" spans="1:9" x14ac:dyDescent="0.25">
      <c r="A26" s="12"/>
      <c r="I26" s="7"/>
    </row>
    <row r="28" spans="1:9" x14ac:dyDescent="0.25">
      <c r="C28" s="32"/>
    </row>
  </sheetData>
  <sheetProtection selectLockedCells="1"/>
  <mergeCells count="1">
    <mergeCell ref="A1:F2"/>
  </mergeCells>
  <pageMargins left="0.70866141732283472" right="0.70866141732283472" top="0.74803149606299213" bottom="0.74803149606299213" header="0.31496062992125984" footer="0.31496062992125984"/>
  <pageSetup paperSize="152" scale="6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6</xdr:row>
                    <xdr:rowOff>38100</xdr:rowOff>
                  </from>
                  <to>
                    <xdr:col>0</xdr:col>
                    <xdr:colOff>752475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Parameters!$A$2:$A$9</xm:f>
          </x14:formula1>
          <xm:sqref>D10:D25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9"/>
  <sheetViews>
    <sheetView workbookViewId="0">
      <selection activeCell="D8" sqref="D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2</v>
      </c>
    </row>
    <row r="3" spans="1:1" x14ac:dyDescent="0.25">
      <c r="A3" t="s">
        <v>13</v>
      </c>
    </row>
    <row r="4" spans="1:1" x14ac:dyDescent="0.25">
      <c r="A4" t="s">
        <v>6</v>
      </c>
    </row>
    <row r="5" spans="1:1" x14ac:dyDescent="0.25">
      <c r="A5" t="s">
        <v>7</v>
      </c>
    </row>
    <row r="6" spans="1:1" x14ac:dyDescent="0.25">
      <c r="A6" s="1" t="s">
        <v>8</v>
      </c>
    </row>
    <row r="7" spans="1:1" x14ac:dyDescent="0.25">
      <c r="A7" s="1" t="s">
        <v>3</v>
      </c>
    </row>
    <row r="8" spans="1:1" x14ac:dyDescent="0.25">
      <c r="A8" s="1" t="s">
        <v>4</v>
      </c>
    </row>
    <row r="9" spans="1:1" x14ac:dyDescent="0.25">
      <c r="A9" s="1" t="s">
        <v>22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 altText="Add task">
                <anchor moveWithCells="1" sizeWithCells="1">
                  <from>
                    <xdr:col>0</xdr:col>
                    <xdr:colOff>9525</xdr:colOff>
                    <xdr:row>9</xdr:row>
                    <xdr:rowOff>28575</xdr:rowOff>
                  </from>
                  <to>
                    <xdr:col>0</xdr:col>
                    <xdr:colOff>990600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Journal</vt:lpstr>
      <vt:lpstr>Parameters</vt:lpstr>
      <vt:lpstr>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2022-03-11T13:47:53Z</dcterms:modified>
</cp:coreProperties>
</file>