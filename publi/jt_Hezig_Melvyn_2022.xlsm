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filterPrivacy="1" codeName="ThisWorkbook" hidePivotFieldList="1"/>
  <xr:revisionPtr revIDLastSave="0" documentId="13_ncr:1_{0276970C-E56C-4F09-BE16-B5B1D14CADAE}" xr6:coauthVersionLast="47" xr6:coauthVersionMax="47" xr10:uidLastSave="{00000000-0000-0000-0000-000000000000}"/>
  <bookViews>
    <workbookView xWindow="1080" yWindow="1380" windowWidth="26505" windowHeight="1410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11" i="1"/>
  <c r="B112" i="1"/>
</calcChain>
</file>

<file path=xl/sharedStrings.xml><?xml version="1.0" encoding="utf-8"?>
<sst xmlns="http://schemas.openxmlformats.org/spreadsheetml/2006/main" count="318" uniqueCount="185">
  <si>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</si>
  <si>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</si>
  <si>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</si>
  <si>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</si>
  <si>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</si>
  <si>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</si>
  <si>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</si>
  <si>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</si>
  <si>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</si>
  <si>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</si>
  <si>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</si>
  <si>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</si>
  <si>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</si>
  <si>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</si>
  <si>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</si>
  <si>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</si>
  <si>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</si>
  <si>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</si>
  <si>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</si>
  <si>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</si>
  <si>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</si>
  <si>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</si>
  <si>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</si>
  <si>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</si>
  <si>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</si>
  <si>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</si>
  <si>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</si>
  <si>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</si>
  <si>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</si>
  <si>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</si>
  <si>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</si>
  <si>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</si>
  <si>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</si>
  <si>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</si>
  <si>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</si>
  <si>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</si>
  <si>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</si>
  <si>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</si>
  <si>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</si>
  <si>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</si>
  <si>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</si>
  <si>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</si>
  <si>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</si>
  <si>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</si>
  <si>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</si>
  <si>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</si>
  <si>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</si>
  <si>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</si>
  <si>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</si>
  <si>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</si>
  <si>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</si>
  <si>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</si>
  <si>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</si>
  <si>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</si>
  <si>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</si>
  <si>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</si>
  <si>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</si>
  <si>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</si>
  <si>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</si>
  <si>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</si>
  <si>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</si>
  <si>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</si>
  <si>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</si>
  <si>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</si>
  <si>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</si>
  <si>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</si>
  <si>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</si>
  <si>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Based on flow chart of decision tree</t>
  </si>
  <si>
    <t>Validation of adjustment request formation and report zoning</t>
  </si>
  <si>
    <t>Starting to implement xml translation system</t>
  </si>
  <si>
    <t>Ending to implement xml translation system and testing. 
First draft of custom query xsd</t>
  </si>
  <si>
    <t>Consideration about how I can make a flexible program: studying abstract factory.
The idea is to generate a factory per drug and each drug could implement his specific steps.</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</si>
  <si>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</si>
  <si>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</si>
  <si>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</si>
  <si>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</si>
  <si>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</si>
  <si>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requestXpert importation implemented and started to test it.</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</si>
  <si>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</si>
  <si>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</si>
  <si>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Custom query importation tested. Following the weekly meeting I adjusted the language manager and his tests.</t>
  </si>
  <si>
    <t>Left to include graphics and conclusion.</t>
  </si>
  <si>
    <t>First draft entierly made. Submission left.</t>
  </si>
  <si>
    <t>The topic of the meeting was to know how to decide if the program should allow or not loading dose and rest period. The answer is it depends of the drugs. This information will be included in drug model as loadingDoseRecommended and restPeriodRecommended elements.</t>
  </si>
  <si>
    <t>LanguageManager and related class to XpertQueryImport</t>
  </si>
  <si>
    <t xml:space="preserve">Adminsitrative data, covariates and dosages </t>
  </si>
  <si>
    <t>samples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</si>
  <si>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</si>
  <si>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</si>
  <si>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Correcting elements according to Prof. Yann Thoma suggestions for intermediate deadline.</t>
  </si>
  <si>
    <t>Tried to use CLI. To achieve this, I had to convert ES6 js into ES5 js. To discuss if I should try the C library.</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</si>
  <si>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</si>
  <si>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</si>
  <si>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</si>
  <si>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</si>
  <si>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</si>
  <si>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</si>
  <si>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</si>
  <si>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</si>
  <si>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</si>
  <si>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</si>
  <si>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</si>
  <si>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</si>
  <si>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</si>
  <si>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</si>
  <si>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
Testing XpertResult constructor and XpertqueryToCoreExtractor</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</si>
  <si>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t>
  </si>
  <si>
    <t>Finally something that does not look bad. Need to comment a bit and start testing.</t>
  </si>
  <si>
    <t>Removing some optional to be consistent, commenting model selection and adapting a bit of documentation.</t>
  </si>
  <si>
    <t>Commenting and code cleaning.</t>
  </si>
  <si>
    <t>Creating the evaluator class and the data classes.</t>
  </si>
  <si>
    <t>Commenting and finishing dose validator testing.</t>
  </si>
  <si>
    <t>Almost over need to try a test with all dosage types.</t>
  </si>
  <si>
    <t>Everything seems to work as expected now. Can jump to the samples evaluation.</t>
  </si>
  <si>
    <t>Adding an abstract result class.</t>
  </si>
  <si>
    <t xml:space="preserve">Grouping pointer to original object and warning into a generic abstract class. </t>
  </si>
  <si>
    <t>Implementing sample validator</t>
  </si>
  <si>
    <t>Partially implemented the sample validator result class</t>
  </si>
  <si>
    <t>Changing code and documentation in response of meeting.</t>
  </si>
  <si>
    <t>Removing white spaces from xml
Removing localComputation optional
Adjusting ClinicalData with clinicalDataEntries and xsd validation
Exporting main in a separate class
Adding the possibility to set a "date of execution" in the ModelSelector to avoir using DateTime::now and to allow testing to be idempotent 
Utils testing (double decimal doubleToStr and langToStr).
Handling Translatable string in model selector for validation, name and description.</t>
  </si>
  <si>
    <t>Got a tooBig error.</t>
  </si>
  <si>
    <t>Creating the base code to perform percentile request.</t>
  </si>
  <si>
    <t>Seems to work well. Left to test and clean the code.</t>
  </si>
  <si>
    <t>It works fine, left to comment and clean.</t>
  </si>
  <si>
    <t>Samples evaluation commeting and adding on additionnaly test.</t>
  </si>
  <si>
    <t>Samples evaluation testing.</t>
  </si>
  <si>
    <t>Samples evaluation.</t>
  </si>
  <si>
    <t>Testing dosage validator.</t>
  </si>
  <si>
    <t>Implementing dosage validator.</t>
  </si>
  <si>
    <t>Drug model selector debugging and testing.</t>
  </si>
  <si>
    <t>Implementing the drug model selector.</t>
  </si>
  <si>
    <t>Refactoring the XpertResult and testing.</t>
  </si>
  <si>
    <t>Weekly meeting with Prof. Yann Thoma.</t>
  </si>
  <si>
    <t>Documentation adjustment and decision tree.</t>
  </si>
  <si>
    <t>Designing final decisions, starting protytpe of final report.</t>
  </si>
  <si>
    <t>Writing  in documentation program execution steps .</t>
  </si>
  <si>
    <t>Writing in documentation program execution steps .</t>
  </si>
  <si>
    <t>decision tree, final report zoning.</t>
  </si>
  <si>
    <t>Translator class.</t>
  </si>
  <si>
    <t>Translator class, Translator tests, Custom query xsd.</t>
  </si>
  <si>
    <t>Program argument parsing and considerations.</t>
  </si>
  <si>
    <t>Research about a way to generate the report.</t>
  </si>
  <si>
    <t>Query importation.</t>
  </si>
  <si>
    <t>Query importation and testing.</t>
  </si>
  <si>
    <t>Query importation  testing.</t>
  </si>
  <si>
    <t>Query importation  testing, language manager adjustments.</t>
  </si>
  <si>
    <t>Added the tests made on Query importation.</t>
  </si>
  <si>
    <t>Designing first draft of report.</t>
  </si>
  <si>
    <t>Meeting with Prof. Yann Thoma, Dr. Monia Guidi &amp; Dr Thierry Buclin.</t>
  </si>
  <si>
    <t>UML.</t>
  </si>
  <si>
    <t>Description of output.</t>
  </si>
  <si>
    <t>Searching the best way to produce report, playing with graphing scripts.</t>
  </si>
  <si>
    <t>Documentation refactoring.</t>
  </si>
  <si>
    <t>Trying wkhtmltopdf to generate script.</t>
  </si>
  <si>
    <t>Documentation and documentation refactoring.</t>
  </si>
  <si>
    <t>Documentation .</t>
  </si>
  <si>
    <t>Drug model selection.</t>
  </si>
  <si>
    <t>Thinking about a good architecture.</t>
  </si>
  <si>
    <t>Target evaluation implementation and starting tests.</t>
  </si>
  <si>
    <t>Target evaluation testing, commenting, starting to implement the adjustment trait creator.</t>
  </si>
  <si>
    <t>The adjustment trait is almost over. Just trying to implement the algorithm to get the adjustment date. When this is done, the class is almost over.</t>
  </si>
  <si>
    <t>First prototype of dosage adjustment time calculator.</t>
  </si>
  <si>
    <t>It's a draft. Need validation before clean version.</t>
  </si>
  <si>
    <t>Implemented the adjustment trait creator, started its testing and refactored some previous tests.</t>
  </si>
  <si>
    <t>Tried to limit the duplication of drug model strings in the same tests structs.</t>
  </si>
  <si>
    <t>Fixing the type checking test of covariates in drug models selectors tests</t>
  </si>
  <si>
    <t>Realized that the covariate compatibility in terms of unit il already done when checking constraints.</t>
  </si>
  <si>
    <t>The implementation of the factory takes some time since I need to move things and reorganize the project a little bit to make things clear.</t>
  </si>
  <si>
    <t>Finishing adjustment trait creator tests. Starting the implementation of the factory of the execution steps.</t>
  </si>
  <si>
    <t>Everything seems alright. Presenting factory and adjustment trait creator</t>
  </si>
  <si>
    <t>Factory implementation, commenting a bit of code, starting to adjust the xpertRequestResult to get access to the computation time and admin data. Huge refactoring in terms of class names and namespaces</t>
  </si>
  <si>
    <t>Now there is only one namespace which is much logic because the project is not that bix and reading code was a pain with too much namespaces. Need to refactor the class names now to remove useless "Xpert" prefix.</t>
  </si>
  <si>
    <t>Finishing the naming refactor, changin the way the computation time is defined, getting the last intake in the xpertRequestResult</t>
  </si>
  <si>
    <t>Now all the element for the report generation are ready. The computation time is the date on top of the query.</t>
  </si>
  <si>
    <t>Starting the xml exporter</t>
  </si>
  <si>
    <t>Took some time to place the clas structure. Now the intro and the admin element is exported.</t>
  </si>
  <si>
    <t>almost finished to retrieve the information for this last step,</t>
  </si>
  <si>
    <t>Xml exporter until statistics and parameters</t>
  </si>
  <si>
    <t>Retrieved the missing information, finished the xml exported, a bit of maintenance and testing.</t>
  </si>
  <si>
    <t>Commenting the exporter. Making a special flow step for the request execution and some small tests.</t>
  </si>
  <si>
    <t>Showing the xml exporter which is fine.</t>
  </si>
  <si>
    <t>Making xsd for xml result.
Making core adjustments for tuberXpert.
Importing the necessary libs to end this TB.</t>
  </si>
  <si>
    <t>Looks like everything is on rail.</t>
  </si>
  <si>
    <t>Starting to make the css and html for html export.</t>
  </si>
  <si>
    <t>Lost a lot of time trying to use a css framework but it is incompatible with the pdf exporter. It is incompatible because they use flex box but the exporter is too old to understand it. Consequently, I learnt new way to align things with classic tables. Made the header, drug intro and copyright.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</si>
</sst>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115"/>
  <sheetViews>
    <sheetView tabSelected="1" topLeftCell="A4"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SUM($C$10:C299)</f>
        <v>12.954861111111112</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60" x14ac:dyDescent="0.25">
      <c r="A10" s="35">
        <v>44740</v>
      </c>
      <c r="B10" s="22">
        <f t="shared" ref="B10" si="0">WEEKNUM(A10)</f>
        <v>27</v>
      </c>
      <c r="C10" s="36">
        <v>0.33333333333333331</v>
      </c>
      <c r="D10" s="23" t="s">
        <v>8</v>
      </c>
      <c r="E10" s="24" t="s">
        <v>183</v>
      </c>
      <c r="F10" s="24" t="s">
        <v>184</v>
      </c>
      <c r="I10" s="7"/>
    </row>
    <row r="11" spans="1:9" ht="45" x14ac:dyDescent="0.25">
      <c r="A11" s="35">
        <v>44739</v>
      </c>
      <c r="B11" s="22">
        <f t="shared" ref="B11" si="1">WEEKNUM(A11)</f>
        <v>27</v>
      </c>
      <c r="C11" s="36">
        <v>0.3125</v>
      </c>
      <c r="D11" s="23" t="s">
        <v>8</v>
      </c>
      <c r="E11" s="24" t="s">
        <v>181</v>
      </c>
      <c r="F11" s="24" t="s">
        <v>182</v>
      </c>
      <c r="I11" s="7"/>
    </row>
    <row r="12" spans="1:9" x14ac:dyDescent="0.25">
      <c r="A12" s="35">
        <v>44739</v>
      </c>
      <c r="B12" s="22">
        <f t="shared" ref="B12" si="2">WEEKNUM(A12)</f>
        <v>27</v>
      </c>
      <c r="C12" s="36">
        <v>2.0833333333333332E-2</v>
      </c>
      <c r="D12" s="23" t="s">
        <v>13</v>
      </c>
      <c r="E12" s="24" t="s">
        <v>132</v>
      </c>
      <c r="F12" s="24" t="s">
        <v>180</v>
      </c>
      <c r="I12" s="7"/>
    </row>
    <row r="13" spans="1:9" ht="30" x14ac:dyDescent="0.25">
      <c r="A13" s="35">
        <v>44737</v>
      </c>
      <c r="B13" s="22">
        <f t="shared" ref="B13" si="3">WEEKNUM(A13)</f>
        <v>26</v>
      </c>
      <c r="C13" s="36">
        <v>0.29166666666666669</v>
      </c>
      <c r="D13" s="23" t="s">
        <v>8</v>
      </c>
      <c r="E13" s="24" t="s">
        <v>178</v>
      </c>
      <c r="F13" s="24" t="s">
        <v>179</v>
      </c>
      <c r="I13" s="7"/>
    </row>
    <row r="14" spans="1:9" x14ac:dyDescent="0.25">
      <c r="A14" s="35">
        <v>44736</v>
      </c>
      <c r="B14" s="22">
        <f t="shared" ref="B14" si="4">WEEKNUM(A14)</f>
        <v>26</v>
      </c>
      <c r="C14" s="36">
        <v>0.29166666666666669</v>
      </c>
      <c r="D14" s="23" t="s">
        <v>8</v>
      </c>
      <c r="E14" s="24" t="s">
        <v>177</v>
      </c>
      <c r="F14" s="24" t="s">
        <v>176</v>
      </c>
      <c r="I14" s="7"/>
    </row>
    <row r="15" spans="1:9" ht="30" x14ac:dyDescent="0.25">
      <c r="A15" s="35">
        <v>44735</v>
      </c>
      <c r="B15" s="22">
        <f t="shared" ref="B15" si="5">WEEKNUM(A15)</f>
        <v>26</v>
      </c>
      <c r="C15" s="36">
        <v>0.33333333333333331</v>
      </c>
      <c r="D15" s="23" t="s">
        <v>8</v>
      </c>
      <c r="E15" s="24" t="s">
        <v>174</v>
      </c>
      <c r="F15" s="24" t="s">
        <v>175</v>
      </c>
      <c r="I15" s="7"/>
    </row>
    <row r="16" spans="1:9" ht="30" x14ac:dyDescent="0.25">
      <c r="A16" s="35">
        <v>44734</v>
      </c>
      <c r="B16" s="22">
        <f t="shared" ref="B16" si="6">WEEKNUM(A16)</f>
        <v>26</v>
      </c>
      <c r="C16" s="36">
        <v>0.33333333333333331</v>
      </c>
      <c r="D16" s="23" t="s">
        <v>8</v>
      </c>
      <c r="E16" s="24" t="s">
        <v>172</v>
      </c>
      <c r="F16" s="24" t="s">
        <v>173</v>
      </c>
      <c r="I16" s="7"/>
    </row>
    <row r="17" spans="1:9" ht="45" x14ac:dyDescent="0.25">
      <c r="A17" s="35">
        <v>44733</v>
      </c>
      <c r="B17" s="22">
        <f t="shared" ref="B17" si="7">WEEKNUM(A17)</f>
        <v>26</v>
      </c>
      <c r="C17" s="36">
        <v>0.27083333333333331</v>
      </c>
      <c r="D17" s="23" t="s">
        <v>8</v>
      </c>
      <c r="E17" s="24" t="s">
        <v>170</v>
      </c>
      <c r="F17" s="24" t="s">
        <v>171</v>
      </c>
      <c r="I17" s="7"/>
    </row>
    <row r="18" spans="1:9" x14ac:dyDescent="0.25">
      <c r="A18" s="35">
        <v>44733</v>
      </c>
      <c r="B18" s="22">
        <f t="shared" ref="B18" si="8">WEEKNUM(A18)</f>
        <v>26</v>
      </c>
      <c r="C18" s="36">
        <v>2.0833333333333332E-2</v>
      </c>
      <c r="D18" s="23" t="s">
        <v>13</v>
      </c>
      <c r="E18" s="24" t="s">
        <v>132</v>
      </c>
      <c r="F18" s="24" t="s">
        <v>169</v>
      </c>
      <c r="I18" s="7"/>
    </row>
    <row r="19" spans="1:9" ht="30" x14ac:dyDescent="0.25">
      <c r="A19" s="35">
        <v>44732</v>
      </c>
      <c r="B19" s="22">
        <f t="shared" ref="B19" si="9">WEEKNUM(A19)</f>
        <v>26</v>
      </c>
      <c r="C19" s="36">
        <v>0.41666666666666669</v>
      </c>
      <c r="D19" s="23" t="s">
        <v>8</v>
      </c>
      <c r="E19" s="24" t="s">
        <v>168</v>
      </c>
      <c r="F19" s="24" t="s">
        <v>167</v>
      </c>
      <c r="I19" s="7"/>
    </row>
    <row r="20" spans="1:9" ht="30" x14ac:dyDescent="0.25">
      <c r="A20" s="35">
        <v>44730</v>
      </c>
      <c r="B20" s="22">
        <f t="shared" ref="B20" si="10">WEEKNUM(A20)</f>
        <v>25</v>
      </c>
      <c r="C20" s="36">
        <v>4.1666666666666664E-2</v>
      </c>
      <c r="D20" s="23" t="s">
        <v>7</v>
      </c>
      <c r="E20" s="24" t="s">
        <v>165</v>
      </c>
      <c r="F20" s="24" t="s">
        <v>166</v>
      </c>
      <c r="I20" s="7"/>
    </row>
    <row r="21" spans="1:9" ht="30" x14ac:dyDescent="0.25">
      <c r="A21" s="35">
        <v>44729</v>
      </c>
      <c r="B21" s="22">
        <f t="shared" ref="B21" si="11">WEEKNUM(A21)</f>
        <v>25</v>
      </c>
      <c r="C21" s="36">
        <v>0.25</v>
      </c>
      <c r="D21" s="23" t="s">
        <v>8</v>
      </c>
      <c r="E21" s="24" t="s">
        <v>163</v>
      </c>
      <c r="F21" s="24" t="s">
        <v>164</v>
      </c>
      <c r="I21" s="7"/>
    </row>
    <row r="22" spans="1:9" x14ac:dyDescent="0.25">
      <c r="A22" s="35">
        <v>44723</v>
      </c>
      <c r="B22" s="22">
        <f t="shared" ref="B22" si="12">WEEKNUM(A22)</f>
        <v>24</v>
      </c>
      <c r="C22" s="36">
        <v>8.3333333333333329E-2</v>
      </c>
      <c r="D22" s="23" t="s">
        <v>8</v>
      </c>
      <c r="E22" s="24" t="s">
        <v>161</v>
      </c>
      <c r="F22" s="24" t="s">
        <v>162</v>
      </c>
      <c r="I22" s="7"/>
    </row>
    <row r="23" spans="1:9" ht="30" x14ac:dyDescent="0.25">
      <c r="A23" s="35">
        <v>44722</v>
      </c>
      <c r="B23" s="22">
        <f t="shared" ref="B23" si="13">WEEKNUM(A23)</f>
        <v>24</v>
      </c>
      <c r="C23" s="36">
        <v>0.25</v>
      </c>
      <c r="D23" s="23" t="s">
        <v>8</v>
      </c>
      <c r="E23" s="24" t="s">
        <v>159</v>
      </c>
      <c r="F23" s="24" t="s">
        <v>160</v>
      </c>
      <c r="I23" s="7"/>
    </row>
    <row r="24" spans="1:9" x14ac:dyDescent="0.25">
      <c r="A24" s="35">
        <v>44721</v>
      </c>
      <c r="B24" s="22">
        <f t="shared" ref="B24" si="14">WEEKNUM(A24)</f>
        <v>24</v>
      </c>
      <c r="C24" s="36">
        <v>6.25E-2</v>
      </c>
      <c r="D24" s="23" t="s">
        <v>8</v>
      </c>
      <c r="E24" s="24" t="s">
        <v>158</v>
      </c>
      <c r="F24" s="24"/>
      <c r="I24" s="7"/>
    </row>
    <row r="25" spans="1:9" x14ac:dyDescent="0.25">
      <c r="A25" s="35">
        <v>44720</v>
      </c>
      <c r="B25" s="22">
        <f t="shared" ref="B25" si="15">WEEKNUM(A25)</f>
        <v>24</v>
      </c>
      <c r="C25" s="36">
        <v>8.3333333333333329E-2</v>
      </c>
      <c r="D25" s="23" t="s">
        <v>7</v>
      </c>
      <c r="E25" s="24" t="s">
        <v>124</v>
      </c>
      <c r="F25" s="24"/>
      <c r="I25" s="7"/>
    </row>
    <row r="26" spans="1:9" x14ac:dyDescent="0.25">
      <c r="A26" s="35">
        <v>44718</v>
      </c>
      <c r="B26" s="22">
        <f t="shared" ref="B26" si="16">WEEKNUM(A26)</f>
        <v>24</v>
      </c>
      <c r="C26" s="36">
        <v>0.125</v>
      </c>
      <c r="D26" s="23" t="s">
        <v>8</v>
      </c>
      <c r="E26" s="24" t="s">
        <v>125</v>
      </c>
      <c r="F26" s="24" t="s">
        <v>123</v>
      </c>
      <c r="I26" s="7"/>
    </row>
    <row r="27" spans="1:9" x14ac:dyDescent="0.25">
      <c r="A27" s="35">
        <v>44717</v>
      </c>
      <c r="B27" s="22">
        <f t="shared" ref="B27" si="17">WEEKNUM(A27)</f>
        <v>24</v>
      </c>
      <c r="C27" s="36">
        <v>0.16666666666666666</v>
      </c>
      <c r="D27" s="23" t="s">
        <v>8</v>
      </c>
      <c r="E27" s="24" t="s">
        <v>126</v>
      </c>
      <c r="F27" s="24" t="s">
        <v>122</v>
      </c>
      <c r="I27" s="7"/>
    </row>
    <row r="28" spans="1:9" x14ac:dyDescent="0.25">
      <c r="A28" s="35">
        <v>44716</v>
      </c>
      <c r="B28" s="22">
        <f t="shared" ref="B28" si="18">WEEKNUM(A28)</f>
        <v>23</v>
      </c>
      <c r="C28" s="36">
        <v>8.3333333333333329E-2</v>
      </c>
      <c r="D28" s="23" t="s">
        <v>8</v>
      </c>
      <c r="E28" s="24" t="s">
        <v>121</v>
      </c>
      <c r="F28" s="24" t="s">
        <v>120</v>
      </c>
      <c r="I28" s="7"/>
    </row>
    <row r="29" spans="1:9" ht="135" x14ac:dyDescent="0.25">
      <c r="A29" s="35">
        <v>44715</v>
      </c>
      <c r="B29" s="22">
        <f t="shared" ref="B29" si="19">WEEKNUM(A29)</f>
        <v>23</v>
      </c>
      <c r="C29" s="36">
        <v>0.29166666666666669</v>
      </c>
      <c r="D29" s="23" t="s">
        <v>7</v>
      </c>
      <c r="E29" s="24" t="s">
        <v>118</v>
      </c>
      <c r="F29" s="24" t="s">
        <v>119</v>
      </c>
      <c r="I29" s="7"/>
    </row>
    <row r="30" spans="1:9" x14ac:dyDescent="0.25">
      <c r="A30" s="42">
        <v>44715</v>
      </c>
      <c r="B30" s="43">
        <f t="shared" ref="B30" si="20">WEEKNUM(A30)</f>
        <v>23</v>
      </c>
      <c r="C30" s="44">
        <v>4.1666666666666664E-2</v>
      </c>
      <c r="D30" s="45" t="s">
        <v>13</v>
      </c>
      <c r="E30" s="46" t="s">
        <v>132</v>
      </c>
      <c r="F30" s="46"/>
      <c r="I30" s="7"/>
    </row>
    <row r="31" spans="1:9" x14ac:dyDescent="0.25">
      <c r="A31" s="35">
        <v>44715</v>
      </c>
      <c r="B31" s="22">
        <f t="shared" ref="B31" si="21">WEEKNUM(A31)</f>
        <v>23</v>
      </c>
      <c r="C31" s="36">
        <v>6.25E-2</v>
      </c>
      <c r="D31" s="23" t="s">
        <v>8</v>
      </c>
      <c r="E31" s="24" t="s">
        <v>116</v>
      </c>
      <c r="F31" s="24" t="s">
        <v>117</v>
      </c>
      <c r="I31" s="7"/>
    </row>
    <row r="32" spans="1:9" x14ac:dyDescent="0.25">
      <c r="A32" s="35">
        <v>44714</v>
      </c>
      <c r="B32" s="22">
        <f t="shared" ref="B32" si="22">WEEKNUM(A32)</f>
        <v>23</v>
      </c>
      <c r="C32" s="36">
        <v>4.1666666666666664E-2</v>
      </c>
      <c r="D32" s="23" t="s">
        <v>7</v>
      </c>
      <c r="E32" s="24" t="s">
        <v>114</v>
      </c>
      <c r="F32" s="24" t="s">
        <v>115</v>
      </c>
      <c r="I32" s="7"/>
    </row>
    <row r="33" spans="1:9" x14ac:dyDescent="0.25">
      <c r="A33" s="35">
        <v>44713</v>
      </c>
      <c r="B33" s="22">
        <f t="shared" ref="B33" si="23">WEEKNUM(A33)</f>
        <v>23</v>
      </c>
      <c r="C33" s="36">
        <v>0.125</v>
      </c>
      <c r="D33" s="23" t="s">
        <v>7</v>
      </c>
      <c r="E33" s="24" t="s">
        <v>111</v>
      </c>
      <c r="F33" s="24" t="s">
        <v>113</v>
      </c>
      <c r="I33" s="7"/>
    </row>
    <row r="34" spans="1:9" x14ac:dyDescent="0.25">
      <c r="A34" s="35">
        <v>44711</v>
      </c>
      <c r="B34" s="22">
        <f t="shared" ref="B34" si="24">WEEKNUM(A34)</f>
        <v>23</v>
      </c>
      <c r="C34" s="36">
        <v>0.125</v>
      </c>
      <c r="D34" s="23" t="s">
        <v>8</v>
      </c>
      <c r="E34" s="24" t="s">
        <v>127</v>
      </c>
      <c r="F34" s="24" t="s">
        <v>112</v>
      </c>
      <c r="I34" s="7"/>
    </row>
    <row r="35" spans="1:9" x14ac:dyDescent="0.25">
      <c r="A35" s="35">
        <v>44710</v>
      </c>
      <c r="B35" s="22">
        <f t="shared" ref="B35" si="25">WEEKNUM(A35)</f>
        <v>23</v>
      </c>
      <c r="C35" s="36">
        <v>0.17708333333333334</v>
      </c>
      <c r="D35" s="23" t="s">
        <v>8</v>
      </c>
      <c r="E35" s="24" t="s">
        <v>128</v>
      </c>
      <c r="F35" s="24" t="s">
        <v>110</v>
      </c>
      <c r="I35" s="7"/>
    </row>
    <row r="36" spans="1:9" ht="30" x14ac:dyDescent="0.25">
      <c r="A36" s="35">
        <v>44709</v>
      </c>
      <c r="B36" s="22">
        <f t="shared" ref="B36" si="26">WEEKNUM(A36)</f>
        <v>22</v>
      </c>
      <c r="C36" s="36">
        <v>0.1875</v>
      </c>
      <c r="D36" s="23" t="s">
        <v>7</v>
      </c>
      <c r="E36" s="24" t="s">
        <v>109</v>
      </c>
      <c r="F36" s="24" t="s">
        <v>108</v>
      </c>
      <c r="I36" s="7"/>
    </row>
    <row r="37" spans="1:9" x14ac:dyDescent="0.25">
      <c r="A37" s="35">
        <v>44708</v>
      </c>
      <c r="B37" s="22">
        <f t="shared" ref="B37" si="27">WEEKNUM(A37)</f>
        <v>22</v>
      </c>
      <c r="C37" s="36">
        <v>0.3125</v>
      </c>
      <c r="D37" s="23" t="s">
        <v>8</v>
      </c>
      <c r="E37" s="24" t="s">
        <v>129</v>
      </c>
      <c r="F37" s="24" t="s">
        <v>107</v>
      </c>
      <c r="I37" s="7"/>
    </row>
    <row r="38" spans="1:9" x14ac:dyDescent="0.25">
      <c r="A38" s="35">
        <v>44707</v>
      </c>
      <c r="B38" s="22">
        <f t="shared" ref="B38" si="28">WEEKNUM(A38)</f>
        <v>22</v>
      </c>
      <c r="C38" s="36">
        <v>0.27083333333333331</v>
      </c>
      <c r="D38" s="23" t="s">
        <v>8</v>
      </c>
      <c r="E38" s="24" t="s">
        <v>130</v>
      </c>
      <c r="F38" s="24" t="s">
        <v>107</v>
      </c>
      <c r="I38" s="7"/>
    </row>
    <row r="39" spans="1:9" ht="120" x14ac:dyDescent="0.25">
      <c r="A39" s="35">
        <v>44706</v>
      </c>
      <c r="B39" s="22">
        <f t="shared" ref="B39" si="29">WEEKNUM(A39)</f>
        <v>22</v>
      </c>
      <c r="C39" s="36">
        <v>0.29166666666666669</v>
      </c>
      <c r="D39" s="23" t="s">
        <v>8</v>
      </c>
      <c r="E39" s="24" t="s">
        <v>131</v>
      </c>
      <c r="F39" s="24" t="s">
        <v>105</v>
      </c>
      <c r="I39" s="7"/>
    </row>
    <row r="40" spans="1:9" ht="255" x14ac:dyDescent="0.25">
      <c r="A40" s="35">
        <v>44704</v>
      </c>
      <c r="B40" s="22">
        <f t="shared" ref="B40" si="30">WEEKNUM(A40)</f>
        <v>22</v>
      </c>
      <c r="C40" s="36">
        <v>0.16666666666666666</v>
      </c>
      <c r="D40" s="23" t="s">
        <v>2</v>
      </c>
      <c r="E40" s="24" t="s">
        <v>157</v>
      </c>
      <c r="F40" s="24" t="s">
        <v>106</v>
      </c>
      <c r="I40" s="7"/>
    </row>
    <row r="41" spans="1:9" ht="30" x14ac:dyDescent="0.25">
      <c r="A41" s="35">
        <v>44703</v>
      </c>
      <c r="B41" s="22">
        <f t="shared" ref="B41" si="31">WEEKNUM(A41)</f>
        <v>22</v>
      </c>
      <c r="C41" s="36">
        <v>0.20833333333333334</v>
      </c>
      <c r="D41" s="23" t="s">
        <v>8</v>
      </c>
      <c r="E41" s="24" t="s">
        <v>156</v>
      </c>
      <c r="F41" s="24" t="s">
        <v>104</v>
      </c>
      <c r="I41" s="7"/>
    </row>
    <row r="42" spans="1:9" x14ac:dyDescent="0.25">
      <c r="A42" s="35">
        <v>44702</v>
      </c>
      <c r="B42" s="22">
        <f t="shared" ref="B42" si="32">WEEKNUM(A42)</f>
        <v>21</v>
      </c>
      <c r="C42" s="36">
        <v>0.125</v>
      </c>
      <c r="D42" s="23" t="s">
        <v>8</v>
      </c>
      <c r="E42" s="24" t="s">
        <v>156</v>
      </c>
      <c r="F42" s="24" t="s">
        <v>103</v>
      </c>
      <c r="I42" s="7"/>
    </row>
    <row r="43" spans="1:9" x14ac:dyDescent="0.25">
      <c r="A43" s="42">
        <v>44701</v>
      </c>
      <c r="B43" s="43">
        <f t="shared" ref="B43" si="33">WEEKNUM(A43)</f>
        <v>21</v>
      </c>
      <c r="C43" s="44">
        <v>2.0833333333333332E-2</v>
      </c>
      <c r="D43" s="45" t="s">
        <v>13</v>
      </c>
      <c r="E43" s="46" t="s">
        <v>132</v>
      </c>
      <c r="F43" s="46" t="s">
        <v>102</v>
      </c>
      <c r="I43" s="7"/>
    </row>
    <row r="44" spans="1:9" ht="30" x14ac:dyDescent="0.25">
      <c r="A44" s="35">
        <v>44701</v>
      </c>
      <c r="B44" s="22">
        <f t="shared" ref="B44" si="34">WEEKNUM(A44)</f>
        <v>21</v>
      </c>
      <c r="C44" s="36">
        <v>0.35416666666666669</v>
      </c>
      <c r="D44" s="23" t="s">
        <v>8</v>
      </c>
      <c r="E44" s="24" t="s">
        <v>156</v>
      </c>
      <c r="F44" s="24" t="s">
        <v>101</v>
      </c>
      <c r="I44" s="7"/>
    </row>
    <row r="45" spans="1:9" x14ac:dyDescent="0.25">
      <c r="A45" s="35">
        <v>44700</v>
      </c>
      <c r="B45" s="22">
        <f t="shared" ref="B45" si="35">WEEKNUM(A45)</f>
        <v>21</v>
      </c>
      <c r="C45" s="36">
        <v>8.3333333333333329E-2</v>
      </c>
      <c r="D45" s="23" t="s">
        <v>8</v>
      </c>
      <c r="E45" s="24" t="s">
        <v>156</v>
      </c>
      <c r="F45" s="24" t="s">
        <v>100</v>
      </c>
      <c r="I45" s="7"/>
    </row>
    <row r="46" spans="1:9" ht="30" x14ac:dyDescent="0.25">
      <c r="A46" s="35">
        <v>44699</v>
      </c>
      <c r="B46" s="22">
        <f t="shared" ref="B46" si="36">WEEKNUM(A46)</f>
        <v>21</v>
      </c>
      <c r="C46" s="36">
        <v>0.10416666666666667</v>
      </c>
      <c r="D46" s="23" t="s">
        <v>8</v>
      </c>
      <c r="E46" s="24" t="s">
        <v>98</v>
      </c>
      <c r="F46" s="24" t="s">
        <v>99</v>
      </c>
      <c r="I46" s="7"/>
    </row>
    <row r="47" spans="1:9" x14ac:dyDescent="0.25">
      <c r="A47" s="35">
        <v>44697</v>
      </c>
      <c r="B47" s="22">
        <f t="shared" ref="B47" si="37">WEEKNUM(A47)</f>
        <v>21</v>
      </c>
      <c r="C47" s="36">
        <v>0.125</v>
      </c>
      <c r="D47" s="23" t="s">
        <v>4</v>
      </c>
      <c r="E47" s="24" t="s">
        <v>155</v>
      </c>
      <c r="F47" s="24" t="s">
        <v>97</v>
      </c>
      <c r="I47" s="7"/>
    </row>
    <row r="48" spans="1:9" ht="30" x14ac:dyDescent="0.25">
      <c r="A48" s="35">
        <v>44696</v>
      </c>
      <c r="B48" s="22">
        <f t="shared" ref="B48" si="38">WEEKNUM(A48)</f>
        <v>21</v>
      </c>
      <c r="C48" s="36">
        <v>0.27083333333333331</v>
      </c>
      <c r="D48" s="23" t="s">
        <v>4</v>
      </c>
      <c r="E48" s="24" t="s">
        <v>155</v>
      </c>
      <c r="F48" s="24" t="s">
        <v>96</v>
      </c>
      <c r="I48" s="7"/>
    </row>
    <row r="49" spans="1:9" x14ac:dyDescent="0.25">
      <c r="A49" s="35">
        <v>44695</v>
      </c>
      <c r="B49" s="22">
        <f t="shared" ref="B49" si="39">WEEKNUM(A49)</f>
        <v>20</v>
      </c>
      <c r="C49" s="36">
        <v>0.16666666666666666</v>
      </c>
      <c r="D49" s="23" t="s">
        <v>4</v>
      </c>
      <c r="E49" s="24" t="s">
        <v>155</v>
      </c>
      <c r="F49" s="24" t="s">
        <v>95</v>
      </c>
      <c r="I49" s="7"/>
    </row>
    <row r="50" spans="1:9" x14ac:dyDescent="0.25">
      <c r="A50" s="35">
        <v>44694</v>
      </c>
      <c r="B50" s="22">
        <f t="shared" ref="B50" si="40">WEEKNUM(A50)</f>
        <v>20</v>
      </c>
      <c r="C50" s="36">
        <v>0.20833333333333334</v>
      </c>
      <c r="D50" s="23" t="s">
        <v>4</v>
      </c>
      <c r="E50" s="24" t="s">
        <v>155</v>
      </c>
      <c r="F50" s="24" t="s">
        <v>94</v>
      </c>
      <c r="I50" s="7"/>
    </row>
    <row r="51" spans="1:9" ht="60" x14ac:dyDescent="0.25">
      <c r="A51" s="42">
        <v>44694</v>
      </c>
      <c r="B51" s="43">
        <f t="shared" ref="B51" si="41">WEEKNUM(A51)</f>
        <v>20</v>
      </c>
      <c r="C51" s="44">
        <v>2.0833333333333332E-2</v>
      </c>
      <c r="D51" s="45" t="s">
        <v>13</v>
      </c>
      <c r="E51" s="46" t="s">
        <v>132</v>
      </c>
      <c r="F51" s="46" t="s">
        <v>93</v>
      </c>
      <c r="I51" s="7"/>
    </row>
    <row r="52" spans="1:9" x14ac:dyDescent="0.25">
      <c r="A52" s="35">
        <v>44693</v>
      </c>
      <c r="B52" s="22">
        <f t="shared" ref="B52" si="42">WEEKNUM(A52)</f>
        <v>20</v>
      </c>
      <c r="C52" s="36">
        <v>8.3333333333333329E-2</v>
      </c>
      <c r="D52" s="23" t="s">
        <v>4</v>
      </c>
      <c r="E52" s="24" t="s">
        <v>154</v>
      </c>
      <c r="F52" s="24" t="s">
        <v>92</v>
      </c>
      <c r="I52" s="7"/>
    </row>
    <row r="53" spans="1:9" x14ac:dyDescent="0.25">
      <c r="A53" s="35">
        <v>44692</v>
      </c>
      <c r="B53" s="22">
        <f t="shared" ref="B53" si="43">WEEKNUM(A53)</f>
        <v>20</v>
      </c>
      <c r="C53" s="36">
        <v>0.10416666666666667</v>
      </c>
      <c r="D53" s="23" t="s">
        <v>4</v>
      </c>
      <c r="E53" s="24" t="s">
        <v>154</v>
      </c>
      <c r="F53" s="24" t="s">
        <v>91</v>
      </c>
      <c r="I53" s="7"/>
    </row>
    <row r="54" spans="1:9" ht="30" x14ac:dyDescent="0.25">
      <c r="A54" s="35">
        <v>44691</v>
      </c>
      <c r="B54" s="22">
        <f t="shared" ref="B54" si="44">WEEKNUM(A54)</f>
        <v>20</v>
      </c>
      <c r="C54" s="36">
        <v>2.0833333333333332E-2</v>
      </c>
      <c r="D54" s="23" t="s">
        <v>2</v>
      </c>
      <c r="E54" s="24" t="s">
        <v>153</v>
      </c>
      <c r="F54" s="24" t="s">
        <v>90</v>
      </c>
      <c r="I54" s="7"/>
    </row>
    <row r="55" spans="1:9" ht="30" x14ac:dyDescent="0.25">
      <c r="A55" s="35">
        <v>44690</v>
      </c>
      <c r="B55" s="22">
        <f t="shared" ref="B55" si="45">WEEKNUM(A55)</f>
        <v>20</v>
      </c>
      <c r="C55" s="36">
        <v>6.25E-2</v>
      </c>
      <c r="D55" s="23" t="s">
        <v>4</v>
      </c>
      <c r="E55" s="24" t="s">
        <v>152</v>
      </c>
      <c r="F55" s="24" t="s">
        <v>89</v>
      </c>
      <c r="I55" s="7"/>
    </row>
    <row r="56" spans="1:9" ht="30" x14ac:dyDescent="0.25">
      <c r="A56" s="35">
        <v>44689</v>
      </c>
      <c r="B56" s="22">
        <f t="shared" ref="B56" si="46">WEEKNUM(A56)</f>
        <v>20</v>
      </c>
      <c r="C56" s="36">
        <v>6.25E-2</v>
      </c>
      <c r="D56" s="23" t="s">
        <v>4</v>
      </c>
      <c r="E56" s="24" t="s">
        <v>152</v>
      </c>
      <c r="F56" s="24" t="s">
        <v>89</v>
      </c>
      <c r="I56" s="7"/>
    </row>
    <row r="57" spans="1:9" ht="30" x14ac:dyDescent="0.25">
      <c r="A57" s="35">
        <v>44688</v>
      </c>
      <c r="B57" s="22">
        <f t="shared" ref="B57" si="47">WEEKNUM(A57)</f>
        <v>19</v>
      </c>
      <c r="C57" s="36">
        <v>5.2083333333333336E-2</v>
      </c>
      <c r="D57" s="23" t="s">
        <v>4</v>
      </c>
      <c r="E57" s="24" t="s">
        <v>152</v>
      </c>
      <c r="F57" s="24" t="s">
        <v>89</v>
      </c>
      <c r="I57" s="7"/>
    </row>
    <row r="58" spans="1:9" x14ac:dyDescent="0.25">
      <c r="A58" s="42">
        <v>44687</v>
      </c>
      <c r="B58" s="43">
        <f t="shared" ref="B58" si="48">WEEKNUM(A58)</f>
        <v>19</v>
      </c>
      <c r="C58" s="44">
        <v>2.0833333333333332E-2</v>
      </c>
      <c r="D58" s="45" t="s">
        <v>13</v>
      </c>
      <c r="E58" s="46" t="s">
        <v>132</v>
      </c>
      <c r="F58" s="46" t="s">
        <v>87</v>
      </c>
      <c r="I58" s="7"/>
    </row>
    <row r="59" spans="1:9" ht="255" x14ac:dyDescent="0.25">
      <c r="A59" s="35">
        <v>44687</v>
      </c>
      <c r="B59" s="22">
        <f t="shared" ref="B59" si="49">WEEKNUM(A59)</f>
        <v>19</v>
      </c>
      <c r="C59" s="36">
        <v>0.375</v>
      </c>
      <c r="D59" s="23" t="s">
        <v>2</v>
      </c>
      <c r="E59" s="24" t="s">
        <v>151</v>
      </c>
      <c r="F59" s="24" t="s">
        <v>88</v>
      </c>
      <c r="I59" s="7"/>
    </row>
    <row r="60" spans="1:9" x14ac:dyDescent="0.25">
      <c r="A60" s="35">
        <v>44686</v>
      </c>
      <c r="B60" s="22">
        <f t="shared" ref="B60" si="50">WEEKNUM(A60)</f>
        <v>19</v>
      </c>
      <c r="C60" s="36">
        <v>2.0833333333333332E-2</v>
      </c>
      <c r="D60" s="23" t="s">
        <v>4</v>
      </c>
      <c r="E60" s="24" t="s">
        <v>150</v>
      </c>
      <c r="F60" s="24" t="s">
        <v>86</v>
      </c>
      <c r="I60" s="7"/>
    </row>
    <row r="61" spans="1:9" x14ac:dyDescent="0.25">
      <c r="A61" s="35">
        <v>44685</v>
      </c>
      <c r="B61" s="22">
        <f t="shared" ref="B61" si="51">WEEKNUM(A61)</f>
        <v>19</v>
      </c>
      <c r="C61" s="36">
        <v>0.125</v>
      </c>
      <c r="D61" s="23" t="s">
        <v>4</v>
      </c>
      <c r="E61" s="24" t="s">
        <v>150</v>
      </c>
      <c r="F61" s="24" t="s">
        <v>85</v>
      </c>
      <c r="I61" s="7"/>
    </row>
    <row r="62" spans="1:9" x14ac:dyDescent="0.25">
      <c r="A62" s="35">
        <v>44683</v>
      </c>
      <c r="B62" s="22">
        <f t="shared" ref="B62" si="52">WEEKNUM(A62)</f>
        <v>19</v>
      </c>
      <c r="C62" s="36">
        <v>8.3333333333333329E-2</v>
      </c>
      <c r="D62" s="23" t="s">
        <v>4</v>
      </c>
      <c r="E62" s="24" t="s">
        <v>149</v>
      </c>
      <c r="F62" s="24" t="s">
        <v>84</v>
      </c>
      <c r="I62" s="7"/>
    </row>
    <row r="63" spans="1:9" ht="60" x14ac:dyDescent="0.25">
      <c r="A63" s="29">
        <v>44683</v>
      </c>
      <c r="B63" s="19">
        <f t="shared" ref="B63" si="53">WEEKNUM(A63)</f>
        <v>19</v>
      </c>
      <c r="C63" s="30">
        <v>2.0833333333333332E-2</v>
      </c>
      <c r="D63" s="20" t="s">
        <v>13</v>
      </c>
      <c r="E63" s="21" t="s">
        <v>148</v>
      </c>
      <c r="F63" s="21" t="s">
        <v>83</v>
      </c>
      <c r="I63" s="7"/>
    </row>
    <row r="64" spans="1:9" x14ac:dyDescent="0.25">
      <c r="A64" s="35">
        <v>44682</v>
      </c>
      <c r="B64" s="22">
        <f t="shared" ref="B64" si="54">WEEKNUM(A64)</f>
        <v>19</v>
      </c>
      <c r="C64" s="36">
        <v>8.3333333333333329E-2</v>
      </c>
      <c r="D64" s="23" t="s">
        <v>2</v>
      </c>
      <c r="E64" s="24" t="s">
        <v>147</v>
      </c>
      <c r="F64" s="24" t="s">
        <v>82</v>
      </c>
      <c r="I64" s="7"/>
    </row>
    <row r="65" spans="1:9" x14ac:dyDescent="0.25">
      <c r="A65" s="35">
        <v>44681</v>
      </c>
      <c r="B65" s="22">
        <f t="shared" ref="B65" si="55">WEEKNUM(A65)</f>
        <v>18</v>
      </c>
      <c r="C65" s="36">
        <v>8.3333333333333329E-2</v>
      </c>
      <c r="D65" s="23" t="s">
        <v>2</v>
      </c>
      <c r="E65" s="24" t="s">
        <v>147</v>
      </c>
      <c r="F65" s="24" t="s">
        <v>81</v>
      </c>
      <c r="I65" s="7"/>
    </row>
    <row r="66" spans="1:9" x14ac:dyDescent="0.25">
      <c r="A66" s="35">
        <v>44680</v>
      </c>
      <c r="B66" s="22">
        <f t="shared" ref="B66" si="56">WEEKNUM(A66)</f>
        <v>18</v>
      </c>
      <c r="C66" s="36">
        <v>4.1666666666666664E-2</v>
      </c>
      <c r="D66" s="23" t="s">
        <v>4</v>
      </c>
      <c r="E66" s="24" t="s">
        <v>146</v>
      </c>
      <c r="F66" s="24"/>
      <c r="I66" s="7"/>
    </row>
    <row r="67" spans="1:9" ht="45" x14ac:dyDescent="0.25">
      <c r="A67" s="42">
        <v>44680</v>
      </c>
      <c r="B67" s="43">
        <f t="shared" ref="B67" si="57">WEEKNUM(A67)</f>
        <v>18</v>
      </c>
      <c r="C67" s="44">
        <v>2.0833333333333332E-2</v>
      </c>
      <c r="D67" s="45" t="s">
        <v>13</v>
      </c>
      <c r="E67" s="46" t="s">
        <v>132</v>
      </c>
      <c r="F67" s="46" t="s">
        <v>79</v>
      </c>
      <c r="I67" s="7"/>
    </row>
    <row r="68" spans="1:9" ht="30" x14ac:dyDescent="0.25">
      <c r="A68" s="35">
        <v>44680</v>
      </c>
      <c r="B68" s="22">
        <f t="shared" ref="B68" si="58">WEEKNUM(A68)</f>
        <v>18</v>
      </c>
      <c r="C68" s="36">
        <v>0.20833333333333334</v>
      </c>
      <c r="D68" s="23" t="s">
        <v>8</v>
      </c>
      <c r="E68" s="24" t="s">
        <v>145</v>
      </c>
      <c r="F68" s="24" t="s">
        <v>80</v>
      </c>
      <c r="I68" s="7"/>
    </row>
    <row r="69" spans="1:9" x14ac:dyDescent="0.25">
      <c r="A69" s="35">
        <v>44679</v>
      </c>
      <c r="B69" s="22">
        <f t="shared" ref="B69" si="59">WEEKNUM(A69)</f>
        <v>18</v>
      </c>
      <c r="C69" s="36">
        <v>0.16666666666666666</v>
      </c>
      <c r="D69" s="23" t="s">
        <v>8</v>
      </c>
      <c r="E69" s="24" t="s">
        <v>144</v>
      </c>
      <c r="F69" s="24" t="s">
        <v>78</v>
      </c>
      <c r="I69" s="7"/>
    </row>
    <row r="70" spans="1:9" x14ac:dyDescent="0.25">
      <c r="A70" s="35">
        <v>44678</v>
      </c>
      <c r="B70" s="22">
        <f t="shared" ref="B70" si="60">WEEKNUM(A70)</f>
        <v>18</v>
      </c>
      <c r="C70" s="36">
        <v>0.14583333333333334</v>
      </c>
      <c r="D70" s="23" t="s">
        <v>8</v>
      </c>
      <c r="E70" s="24" t="s">
        <v>143</v>
      </c>
      <c r="F70" s="24" t="s">
        <v>77</v>
      </c>
      <c r="I70" s="7"/>
    </row>
    <row r="71" spans="1:9" x14ac:dyDescent="0.25">
      <c r="A71" s="35">
        <v>44676</v>
      </c>
      <c r="B71" s="22">
        <f t="shared" ref="B71" si="61">WEEKNUM(A71)</f>
        <v>18</v>
      </c>
      <c r="C71" s="36">
        <v>8.3333333333333329E-2</v>
      </c>
      <c r="D71" s="23" t="s">
        <v>8</v>
      </c>
      <c r="E71" s="24" t="s">
        <v>142</v>
      </c>
      <c r="F71" s="24" t="s">
        <v>76</v>
      </c>
      <c r="I71" s="7"/>
    </row>
    <row r="72" spans="1:9" ht="30" x14ac:dyDescent="0.25">
      <c r="A72" s="35">
        <v>44675</v>
      </c>
      <c r="B72" s="22">
        <f t="shared" ref="B72" si="62">WEEKNUM(A72)</f>
        <v>18</v>
      </c>
      <c r="C72" s="36">
        <v>0.16666666666666666</v>
      </c>
      <c r="D72" s="23" t="s">
        <v>8</v>
      </c>
      <c r="E72" s="24" t="s">
        <v>73</v>
      </c>
      <c r="F72" s="24" t="s">
        <v>75</v>
      </c>
      <c r="I72" s="7"/>
    </row>
    <row r="73" spans="1:9" x14ac:dyDescent="0.25">
      <c r="A73" s="35">
        <v>44674</v>
      </c>
      <c r="B73" s="22">
        <f t="shared" ref="B73" si="63">WEEKNUM(A73)</f>
        <v>17</v>
      </c>
      <c r="C73" s="36">
        <v>8.3333333333333329E-2</v>
      </c>
      <c r="D73" s="23" t="s">
        <v>8</v>
      </c>
      <c r="E73" s="24" t="s">
        <v>142</v>
      </c>
      <c r="F73" s="24" t="s">
        <v>74</v>
      </c>
      <c r="I73" s="7"/>
    </row>
    <row r="74" spans="1:9" ht="60" x14ac:dyDescent="0.25">
      <c r="A74" s="35">
        <v>44673</v>
      </c>
      <c r="B74" s="22">
        <f t="shared" ref="B74" si="64">WEEKNUM(A74)</f>
        <v>17</v>
      </c>
      <c r="C74" s="36">
        <v>0.125</v>
      </c>
      <c r="D74" s="23" t="s">
        <v>2</v>
      </c>
      <c r="E74" s="24" t="s">
        <v>141</v>
      </c>
      <c r="F74" s="24" t="s">
        <v>72</v>
      </c>
      <c r="I74" s="7"/>
    </row>
    <row r="75" spans="1:9" ht="45" x14ac:dyDescent="0.25">
      <c r="A75" s="35">
        <v>44673</v>
      </c>
      <c r="B75" s="22">
        <f t="shared" ref="B75" si="65">WEEKNUM(A75)</f>
        <v>17</v>
      </c>
      <c r="C75" s="36">
        <v>0.10416666666666667</v>
      </c>
      <c r="D75" s="23" t="s">
        <v>8</v>
      </c>
      <c r="E75" s="24" t="s">
        <v>140</v>
      </c>
      <c r="F75" s="24" t="s">
        <v>71</v>
      </c>
      <c r="I75" s="7"/>
    </row>
    <row r="76" spans="1:9" ht="30" x14ac:dyDescent="0.25">
      <c r="A76" s="35">
        <v>44672</v>
      </c>
      <c r="B76" s="22">
        <f t="shared" ref="B76" si="66">WEEKNUM(A76)</f>
        <v>17</v>
      </c>
      <c r="C76" s="36">
        <v>0.20833333333333334</v>
      </c>
      <c r="D76" s="23" t="s">
        <v>8</v>
      </c>
      <c r="E76" s="24" t="s">
        <v>139</v>
      </c>
      <c r="F76" s="24" t="s">
        <v>70</v>
      </c>
      <c r="I76" s="7"/>
    </row>
    <row r="77" spans="1:9" x14ac:dyDescent="0.25">
      <c r="A77" s="35">
        <v>44671</v>
      </c>
      <c r="B77" s="22">
        <f t="shared" ref="B77" si="67">WEEKNUM(A77)</f>
        <v>17</v>
      </c>
      <c r="C77" s="36">
        <v>0.20833333333333334</v>
      </c>
      <c r="D77" s="23" t="s">
        <v>8</v>
      </c>
      <c r="E77" s="24" t="s">
        <v>138</v>
      </c>
      <c r="F77" s="24" t="s">
        <v>69</v>
      </c>
      <c r="I77" s="7"/>
    </row>
    <row r="78" spans="1:9" x14ac:dyDescent="0.25">
      <c r="A78" s="29">
        <v>44665</v>
      </c>
      <c r="B78" s="19">
        <f t="shared" ref="B78" si="68">WEEKNUM(A78)</f>
        <v>16</v>
      </c>
      <c r="C78" s="30">
        <v>2.7777777777777776E-2</v>
      </c>
      <c r="D78" s="20" t="s">
        <v>13</v>
      </c>
      <c r="E78" s="21" t="s">
        <v>132</v>
      </c>
      <c r="F78" s="21" t="s">
        <v>68</v>
      </c>
      <c r="I78" s="7"/>
    </row>
    <row r="79" spans="1:9" x14ac:dyDescent="0.25">
      <c r="A79" s="37">
        <v>44664</v>
      </c>
      <c r="B79" s="38">
        <f t="shared" ref="B79" si="69">WEEKNUM(A79)</f>
        <v>16</v>
      </c>
      <c r="C79" s="39">
        <v>8.3333333333333329E-2</v>
      </c>
      <c r="D79" s="40" t="s">
        <v>2</v>
      </c>
      <c r="E79" s="41" t="s">
        <v>137</v>
      </c>
      <c r="F79" s="41"/>
      <c r="I79" s="7"/>
    </row>
    <row r="80" spans="1:9" x14ac:dyDescent="0.25">
      <c r="A80" s="37">
        <v>44660</v>
      </c>
      <c r="B80" s="38">
        <f t="shared" ref="B80" si="70">WEEKNUM(A80)</f>
        <v>15</v>
      </c>
      <c r="C80" s="39">
        <v>0.10416666666666667</v>
      </c>
      <c r="D80" s="40" t="s">
        <v>4</v>
      </c>
      <c r="E80" s="41" t="s">
        <v>136</v>
      </c>
      <c r="F80" s="41" t="s">
        <v>67</v>
      </c>
      <c r="I80" s="7"/>
    </row>
    <row r="81" spans="1:9" x14ac:dyDescent="0.25">
      <c r="A81" s="37">
        <v>44659</v>
      </c>
      <c r="B81" s="38">
        <f t="shared" ref="B81" si="71">WEEKNUM(A81)</f>
        <v>15</v>
      </c>
      <c r="C81" s="39">
        <v>4.1666666666666664E-2</v>
      </c>
      <c r="D81" s="40" t="s">
        <v>4</v>
      </c>
      <c r="E81" s="41" t="s">
        <v>135</v>
      </c>
      <c r="F81" s="41" t="s">
        <v>67</v>
      </c>
      <c r="I81" s="7"/>
    </row>
    <row r="82" spans="1:9" ht="45" x14ac:dyDescent="0.25">
      <c r="A82" s="29">
        <v>44659</v>
      </c>
      <c r="B82" s="19">
        <f t="shared" ref="B82" si="72">WEEKNUM(A82)</f>
        <v>15</v>
      </c>
      <c r="C82" s="30">
        <v>4.1666666666666664E-2</v>
      </c>
      <c r="D82" s="20" t="s">
        <v>13</v>
      </c>
      <c r="E82" s="21" t="s">
        <v>14</v>
      </c>
      <c r="F82" s="21" t="s">
        <v>66</v>
      </c>
      <c r="I82" s="7"/>
    </row>
    <row r="83" spans="1:9" ht="30" x14ac:dyDescent="0.25">
      <c r="A83" s="37">
        <v>44659</v>
      </c>
      <c r="B83" s="38">
        <f t="shared" ref="B83" si="73">WEEKNUM(A83)</f>
        <v>15</v>
      </c>
      <c r="C83" s="39">
        <v>0.16666666666666666</v>
      </c>
      <c r="D83" s="40" t="s">
        <v>2</v>
      </c>
      <c r="E83" s="41" t="s">
        <v>134</v>
      </c>
      <c r="F83" s="41" t="s">
        <v>65</v>
      </c>
      <c r="I83" s="7"/>
    </row>
    <row r="84" spans="1:9" x14ac:dyDescent="0.25">
      <c r="A84" s="37">
        <v>44658</v>
      </c>
      <c r="B84" s="38">
        <f t="shared" ref="B84" si="74">WEEKNUM(A84)</f>
        <v>15</v>
      </c>
      <c r="C84" s="39">
        <v>8.3333333333333329E-2</v>
      </c>
      <c r="D84" s="40" t="s">
        <v>4</v>
      </c>
      <c r="E84" s="41" t="s">
        <v>133</v>
      </c>
      <c r="F84" s="41" t="s">
        <v>64</v>
      </c>
      <c r="I84" s="7"/>
    </row>
    <row r="85" spans="1:9" x14ac:dyDescent="0.25">
      <c r="A85" s="37">
        <v>44657</v>
      </c>
      <c r="B85" s="38">
        <f t="shared" ref="B85" si="75">WEEKNUM(A85)</f>
        <v>15</v>
      </c>
      <c r="C85" s="39">
        <v>0.11458333333333333</v>
      </c>
      <c r="D85" s="40" t="s">
        <v>4</v>
      </c>
      <c r="E85" s="41" t="s">
        <v>63</v>
      </c>
      <c r="F85" s="41"/>
      <c r="I85" s="7"/>
    </row>
    <row r="86" spans="1:9" ht="30" x14ac:dyDescent="0.25">
      <c r="A86" s="37">
        <v>44652</v>
      </c>
      <c r="B86" s="38">
        <f t="shared" ref="B86" si="76">WEEKNUM(A86)</f>
        <v>14</v>
      </c>
      <c r="C86" s="39">
        <v>0.20833333333333334</v>
      </c>
      <c r="D86" s="40" t="s">
        <v>2</v>
      </c>
      <c r="E86" s="41" t="s">
        <v>61</v>
      </c>
      <c r="F86" s="41" t="s">
        <v>62</v>
      </c>
      <c r="I86" s="7"/>
    </row>
    <row r="87" spans="1:9" x14ac:dyDescent="0.25">
      <c r="A87" s="29">
        <v>44652</v>
      </c>
      <c r="B87" s="19">
        <f t="shared" ref="B87" si="77">WEEKNUM(A87)</f>
        <v>14</v>
      </c>
      <c r="C87" s="30">
        <v>4.1666666666666664E-2</v>
      </c>
      <c r="D87" s="20" t="s">
        <v>13</v>
      </c>
      <c r="E87" s="21" t="s">
        <v>132</v>
      </c>
      <c r="F87" s="21" t="s">
        <v>60</v>
      </c>
      <c r="I87" s="7"/>
    </row>
    <row r="88" spans="1:9" x14ac:dyDescent="0.25">
      <c r="A88" s="37">
        <v>44651</v>
      </c>
      <c r="B88" s="38">
        <f t="shared" ref="B88" si="78">WEEKNUM(A88)</f>
        <v>14</v>
      </c>
      <c r="C88" s="39">
        <v>4.1666666666666664E-2</v>
      </c>
      <c r="D88" s="40" t="s">
        <v>2</v>
      </c>
      <c r="E88" s="41" t="s">
        <v>57</v>
      </c>
      <c r="F88" s="41" t="s">
        <v>59</v>
      </c>
      <c r="I88" s="7"/>
    </row>
    <row r="89" spans="1:9" x14ac:dyDescent="0.25">
      <c r="A89" s="37">
        <v>44650</v>
      </c>
      <c r="B89" s="38">
        <f t="shared" ref="B89" si="79">WEEKNUM(A89)</f>
        <v>14</v>
      </c>
      <c r="C89" s="39">
        <v>4.1666666666666664E-2</v>
      </c>
      <c r="D89" s="40" t="s">
        <v>2</v>
      </c>
      <c r="E89" s="41" t="s">
        <v>57</v>
      </c>
      <c r="F89" s="41" t="s">
        <v>58</v>
      </c>
      <c r="I89" s="7"/>
    </row>
    <row r="90" spans="1:9" ht="30" x14ac:dyDescent="0.25">
      <c r="A90" s="37">
        <v>44648</v>
      </c>
      <c r="B90" s="38">
        <f t="shared" ref="B90" si="80">WEEKNUM(A90)</f>
        <v>14</v>
      </c>
      <c r="C90" s="39">
        <v>9.375E-2</v>
      </c>
      <c r="D90" s="40" t="s">
        <v>2</v>
      </c>
      <c r="E90" s="41" t="s">
        <v>55</v>
      </c>
      <c r="F90" s="41" t="s">
        <v>56</v>
      </c>
      <c r="I90" s="7"/>
    </row>
    <row r="91" spans="1:9" ht="30" x14ac:dyDescent="0.25">
      <c r="A91" s="29">
        <v>44645</v>
      </c>
      <c r="B91" s="19">
        <f t="shared" ref="B91" si="81">WEEKNUM(A91)</f>
        <v>13</v>
      </c>
      <c r="C91" s="30">
        <v>4.1666666666666664E-2</v>
      </c>
      <c r="D91" s="20" t="s">
        <v>13</v>
      </c>
      <c r="E91" s="21" t="s">
        <v>14</v>
      </c>
      <c r="F91" s="21" t="s">
        <v>53</v>
      </c>
      <c r="I91" s="7"/>
    </row>
    <row r="92" spans="1:9" ht="30" x14ac:dyDescent="0.25">
      <c r="A92" s="35">
        <v>44645</v>
      </c>
      <c r="B92" s="22">
        <f t="shared" ref="B92" si="82">WEEKNUM(A92)</f>
        <v>13</v>
      </c>
      <c r="C92" s="36">
        <v>0.20833333333333334</v>
      </c>
      <c r="D92" s="23" t="s">
        <v>2</v>
      </c>
      <c r="E92" s="24" t="s">
        <v>54</v>
      </c>
      <c r="F92" s="24" t="s">
        <v>52</v>
      </c>
      <c r="I92" s="7"/>
    </row>
    <row r="93" spans="1:9" x14ac:dyDescent="0.25">
      <c r="A93" s="35">
        <v>44644</v>
      </c>
      <c r="B93" s="22">
        <f t="shared" ref="B93" si="83">WEEKNUM(A93)</f>
        <v>13</v>
      </c>
      <c r="C93" s="36">
        <v>8.3333333333333329E-2</v>
      </c>
      <c r="D93" s="23" t="s">
        <v>2</v>
      </c>
      <c r="E93" s="24" t="s">
        <v>50</v>
      </c>
      <c r="F93" s="24" t="s">
        <v>51</v>
      </c>
      <c r="I93" s="7"/>
    </row>
    <row r="94" spans="1:9" x14ac:dyDescent="0.25">
      <c r="A94" s="35">
        <v>44643</v>
      </c>
      <c r="B94" s="22">
        <f t="shared" ref="B94" si="84">WEEKNUM(A94)</f>
        <v>13</v>
      </c>
      <c r="C94" s="36">
        <v>7.2916666666666671E-2</v>
      </c>
      <c r="D94" s="23" t="s">
        <v>2</v>
      </c>
      <c r="E94" s="24" t="s">
        <v>50</v>
      </c>
      <c r="F94" s="24" t="s">
        <v>49</v>
      </c>
      <c r="I94" s="7"/>
    </row>
    <row r="95" spans="1:9" ht="30" x14ac:dyDescent="0.25">
      <c r="A95" s="35">
        <v>44641</v>
      </c>
      <c r="B95" s="22">
        <f t="shared" ref="B95" si="85">WEEKNUM(A95)</f>
        <v>13</v>
      </c>
      <c r="C95" s="36">
        <v>4.1666666666666664E-2</v>
      </c>
      <c r="D95" s="23" t="s">
        <v>2</v>
      </c>
      <c r="E95" s="24" t="s">
        <v>47</v>
      </c>
      <c r="F95" s="24" t="s">
        <v>48</v>
      </c>
      <c r="I95" s="7"/>
    </row>
    <row r="96" spans="1:9" ht="30" x14ac:dyDescent="0.25">
      <c r="A96" s="29">
        <v>44631</v>
      </c>
      <c r="B96" s="19">
        <f t="shared" ref="B96" si="86">WEEKNUM(A96)</f>
        <v>11</v>
      </c>
      <c r="C96" s="30">
        <v>2.0833333333333332E-2</v>
      </c>
      <c r="D96" s="20" t="s">
        <v>13</v>
      </c>
      <c r="E96" s="21" t="s">
        <v>14</v>
      </c>
      <c r="F96" s="21" t="s">
        <v>46</v>
      </c>
      <c r="I96" s="7"/>
    </row>
    <row r="97" spans="1:9" x14ac:dyDescent="0.25">
      <c r="A97" s="35">
        <v>44631</v>
      </c>
      <c r="B97" s="22">
        <f t="shared" ref="B97" si="87">WEEKNUM(A97)</f>
        <v>11</v>
      </c>
      <c r="C97" s="36">
        <v>4.1666666666666664E-2</v>
      </c>
      <c r="D97" s="23" t="s">
        <v>8</v>
      </c>
      <c r="E97" s="24" t="s">
        <v>41</v>
      </c>
      <c r="F97" s="24" t="s">
        <v>42</v>
      </c>
      <c r="I97" s="7"/>
    </row>
    <row r="98" spans="1:9" ht="30" x14ac:dyDescent="0.25">
      <c r="A98" s="35">
        <v>44631</v>
      </c>
      <c r="B98" s="22">
        <f t="shared" ref="B98" si="88">WEEKNUM(A98)</f>
        <v>11</v>
      </c>
      <c r="C98" s="36">
        <v>7.2916666666666671E-2</v>
      </c>
      <c r="D98" s="23" t="s">
        <v>4</v>
      </c>
      <c r="E98" s="24" t="s">
        <v>40</v>
      </c>
      <c r="F98" s="24"/>
      <c r="I98" s="7"/>
    </row>
    <row r="99" spans="1:9" ht="45" x14ac:dyDescent="0.25">
      <c r="A99" s="35">
        <v>44631</v>
      </c>
      <c r="B99" s="22">
        <f t="shared" ref="B99" si="89">WEEKNUM(A99)</f>
        <v>11</v>
      </c>
      <c r="C99" s="36">
        <v>0.14583333333333334</v>
      </c>
      <c r="D99" s="23" t="s">
        <v>2</v>
      </c>
      <c r="E99" s="24" t="s">
        <v>44</v>
      </c>
      <c r="F99" s="24" t="s">
        <v>45</v>
      </c>
      <c r="I99" s="7"/>
    </row>
    <row r="100" spans="1:9" x14ac:dyDescent="0.25">
      <c r="A100" s="35">
        <v>44630</v>
      </c>
      <c r="B100" s="22">
        <f t="shared" ref="B100" si="90">WEEKNUM(A100)</f>
        <v>11</v>
      </c>
      <c r="C100" s="36">
        <v>3.125E-2</v>
      </c>
      <c r="D100" s="23" t="s">
        <v>2</v>
      </c>
      <c r="E100" s="24" t="s">
        <v>36</v>
      </c>
      <c r="F100" s="24" t="s">
        <v>37</v>
      </c>
      <c r="I100" s="7"/>
    </row>
    <row r="101" spans="1:9" x14ac:dyDescent="0.25">
      <c r="A101" s="35">
        <v>44630</v>
      </c>
      <c r="B101" s="22">
        <f t="shared" ref="B101" si="91">WEEKNUM(A101)</f>
        <v>11</v>
      </c>
      <c r="C101" s="36">
        <v>3.125E-2</v>
      </c>
      <c r="D101" s="23" t="s">
        <v>4</v>
      </c>
      <c r="E101" s="24" t="s">
        <v>38</v>
      </c>
      <c r="F101" s="24" t="s">
        <v>39</v>
      </c>
      <c r="I101" s="7"/>
    </row>
    <row r="102" spans="1:9" x14ac:dyDescent="0.25">
      <c r="A102" s="35">
        <v>44627</v>
      </c>
      <c r="B102" s="22">
        <f t="shared" ref="B102" si="92">WEEKNUM(A102)</f>
        <v>11</v>
      </c>
      <c r="C102" s="36">
        <v>3.125E-2</v>
      </c>
      <c r="D102" s="23" t="s">
        <v>2</v>
      </c>
      <c r="E102" s="24" t="s">
        <v>35</v>
      </c>
      <c r="F102" s="24"/>
      <c r="I102" s="7"/>
    </row>
    <row r="103" spans="1:9" x14ac:dyDescent="0.25">
      <c r="A103" s="35">
        <v>44625</v>
      </c>
      <c r="B103" s="22">
        <f t="shared" ref="B103" si="93">WEEKNUM(A103)</f>
        <v>10</v>
      </c>
      <c r="C103" s="36">
        <v>6.25E-2</v>
      </c>
      <c r="D103" s="23" t="s">
        <v>8</v>
      </c>
      <c r="E103" s="24" t="s">
        <v>33</v>
      </c>
      <c r="F103" s="24" t="s">
        <v>34</v>
      </c>
      <c r="I103" s="7"/>
    </row>
    <row r="104" spans="1:9" ht="30" x14ac:dyDescent="0.25">
      <c r="A104" s="35">
        <v>44624</v>
      </c>
      <c r="B104" s="22">
        <f t="shared" ref="B104" si="94">WEEKNUM(A104)</f>
        <v>10</v>
      </c>
      <c r="C104" s="36">
        <v>6.25E-2</v>
      </c>
      <c r="D104" s="23" t="s">
        <v>8</v>
      </c>
      <c r="E104" s="24" t="s">
        <v>31</v>
      </c>
      <c r="F104" s="24" t="s">
        <v>32</v>
      </c>
      <c r="I104" s="7"/>
    </row>
    <row r="105" spans="1:9" x14ac:dyDescent="0.25">
      <c r="A105" s="35">
        <v>44624</v>
      </c>
      <c r="B105" s="22">
        <f t="shared" ref="B105" si="95">WEEKNUM(A105)</f>
        <v>10</v>
      </c>
      <c r="C105" s="36">
        <v>0.125</v>
      </c>
      <c r="D105" s="23" t="s">
        <v>4</v>
      </c>
      <c r="E105" s="24" t="s">
        <v>29</v>
      </c>
      <c r="F105" s="24" t="s">
        <v>30</v>
      </c>
      <c r="I105" s="7"/>
    </row>
    <row r="106" spans="1:9" x14ac:dyDescent="0.25">
      <c r="A106" s="35">
        <v>44624</v>
      </c>
      <c r="B106" s="22">
        <f t="shared" ref="B106" si="96">WEEKNUM(A106)</f>
        <v>10</v>
      </c>
      <c r="C106" s="36">
        <v>4.1666666666666664E-2</v>
      </c>
      <c r="D106" s="23" t="s">
        <v>4</v>
      </c>
      <c r="E106" s="24" t="s">
        <v>27</v>
      </c>
      <c r="F106" s="24" t="s">
        <v>28</v>
      </c>
      <c r="I106" s="7"/>
    </row>
    <row r="107" spans="1:9" x14ac:dyDescent="0.25">
      <c r="A107" s="35">
        <v>44624</v>
      </c>
      <c r="B107" s="22">
        <f t="shared" ref="B107" si="97">WEEKNUM(A107)</f>
        <v>10</v>
      </c>
      <c r="C107" s="36">
        <v>4.1666666666666664E-2</v>
      </c>
      <c r="D107" s="23" t="s">
        <v>4</v>
      </c>
      <c r="E107" s="24" t="s">
        <v>20</v>
      </c>
      <c r="F107" s="24"/>
      <c r="I107" s="7"/>
    </row>
    <row r="108" spans="1:9" ht="90" x14ac:dyDescent="0.25">
      <c r="A108" s="29">
        <v>44623</v>
      </c>
      <c r="B108" s="19">
        <f t="shared" ref="B108" si="98">WEEKNUM(A108)</f>
        <v>10</v>
      </c>
      <c r="C108" s="30">
        <v>2.0833333333333332E-2</v>
      </c>
      <c r="D108" s="20" t="s">
        <v>13</v>
      </c>
      <c r="E108" s="21" t="s">
        <v>14</v>
      </c>
      <c r="F108" s="21" t="s">
        <v>43</v>
      </c>
      <c r="I108" s="7"/>
    </row>
    <row r="109" spans="1:9" ht="45" x14ac:dyDescent="0.25">
      <c r="A109" s="35">
        <v>44622</v>
      </c>
      <c r="B109" s="22"/>
      <c r="C109" s="36">
        <v>4.1666666666666664E-2</v>
      </c>
      <c r="D109" s="23" t="s">
        <v>21</v>
      </c>
      <c r="E109" s="24" t="s">
        <v>24</v>
      </c>
      <c r="F109" s="24" t="s">
        <v>25</v>
      </c>
      <c r="I109" s="7"/>
    </row>
    <row r="110" spans="1:9" ht="60" x14ac:dyDescent="0.25">
      <c r="A110" s="35">
        <v>44619</v>
      </c>
      <c r="B110" s="22"/>
      <c r="C110" s="36">
        <v>8.3333333333333329E-2</v>
      </c>
      <c r="D110" s="23" t="s">
        <v>21</v>
      </c>
      <c r="E110" s="24" t="s">
        <v>23</v>
      </c>
      <c r="F110" s="24" t="s">
        <v>22</v>
      </c>
      <c r="I110" s="7"/>
    </row>
    <row r="111" spans="1:9" x14ac:dyDescent="0.25">
      <c r="A111" s="28">
        <v>44617</v>
      </c>
      <c r="B111" s="10">
        <f t="shared" ref="B111" si="99">WEEKNUM(A111)</f>
        <v>9</v>
      </c>
      <c r="C111" s="31">
        <v>0.16666666666666666</v>
      </c>
      <c r="D111" s="5" t="s">
        <v>13</v>
      </c>
      <c r="E111" s="6" t="s">
        <v>15</v>
      </c>
      <c r="F111" s="6" t="s">
        <v>16</v>
      </c>
      <c r="I111" s="7"/>
    </row>
    <row r="112" spans="1:9" ht="90" x14ac:dyDescent="0.25">
      <c r="A112" s="29">
        <v>44616</v>
      </c>
      <c r="B112" s="19">
        <f t="shared" ref="B112" si="100">WEEKNUM(A112)</f>
        <v>9</v>
      </c>
      <c r="C112" s="30">
        <v>8.3333333333333329E-2</v>
      </c>
      <c r="D112" s="20" t="s">
        <v>13</v>
      </c>
      <c r="E112" s="21" t="s">
        <v>14</v>
      </c>
      <c r="F112" s="21" t="s">
        <v>17</v>
      </c>
      <c r="I112" s="7"/>
    </row>
    <row r="113" spans="1:9" x14ac:dyDescent="0.25">
      <c r="A113" s="12"/>
      <c r="I113" s="7"/>
    </row>
    <row r="115" spans="1:9" x14ac:dyDescent="0.25">
      <c r="C115"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D10:D112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2022-06-28T16:32:58Z</dcterms:modified>
</cp:coreProperties>
</file>