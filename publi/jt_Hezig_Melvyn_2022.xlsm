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225" codeName="{AE6600E7-7A62-396C-DE95-9942FA9DD81E}"/>
  <workbookPr filterPrivacy="1" codeName="ThisWorkbook" hidePivotFieldList="1"/>
  <xr:revisionPtr revIDLastSave="0" documentId="13_ncr:1_{D5E80F83-DD15-4075-AB56-C5F0E8E7252B}" xr6:coauthVersionLast="47" xr6:coauthVersionMax="47" xr10:uidLastSave="{00000000-0000-0000-0000-000000000000}"/>
  <bookViews>
    <workbookView xWindow="1080" yWindow="1380" windowWidth="26505" windowHeight="14100" xr2:uid="{00000000-000D-0000-FFFF-FFFF00000000}"/>
  </bookViews>
  <sheets>
    <sheet name="Journal" sheetId="1" r:id="rId1"/>
    <sheet name="Parameters" sheetId="2" r:id="rId2"/>
  </sheets>
  <definedNames>
    <definedName name="base">Journal!$A$9</definedName>
  </definedNames>
  <calcPr calcId="191029" concurrentCalc="0"/>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 xmlns:mx="http://schemas.microsoft.com/office/mac/excel/2008/main" uri="{7523E5D3-25F3-A5E0-1632-64F254C22452}">
      <mx:ArchID Flags="2"/>
    </ext>
  </extLst>
</workbook>
</file>

<file path=xl/calcChain.xml><?xml version="1.0" encoding="utf-8"?>
<calcChain xmlns="http://schemas.openxmlformats.org/spreadsheetml/2006/main">
  <c r="C5" i="1" l="1"/>
  <c r="B10" i="1"/>
  <c r="B11"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40" i="1"/>
  <c r="B41" i="1"/>
  <c r="B42"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79" i="1"/>
  <c r="B80" i="1"/>
  <c r="B81" i="1"/>
  <c r="B82" i="1"/>
  <c r="B83" i="1"/>
  <c r="B84" i="1"/>
  <c r="B85" i="1"/>
  <c r="B86" i="1"/>
  <c r="B87" i="1"/>
  <c r="B88" i="1"/>
  <c r="B89" i="1"/>
  <c r="B90" i="1"/>
  <c r="B91" i="1"/>
  <c r="B92" i="1"/>
  <c r="B93" i="1"/>
  <c r="B94" i="1"/>
  <c r="B95" i="1"/>
  <c r="B96" i="1"/>
  <c r="B97" i="1"/>
  <c r="B100" i="1"/>
  <c r="B101" i="1"/>
</calcChain>
</file>

<file path=xl/sharedStrings.xml><?xml version="1.0" encoding="utf-8"?>
<sst xmlns="http://schemas.openxmlformats.org/spreadsheetml/2006/main" count="286" uniqueCount="165">
  <si>
    <t>Description</t>
  </si>
  <si>
    <t>Type</t>
  </si>
  <si>
    <t>Analyse</t>
  </si>
  <si>
    <t>Tests</t>
  </si>
  <si>
    <t>Documentation</t>
  </si>
  <si>
    <t>Semaine</t>
  </si>
  <si>
    <t>Shipping</t>
  </si>
  <si>
    <t>Maintenance</t>
  </si>
  <si>
    <t>Implementation</t>
  </si>
  <si>
    <t>Tasks</t>
  </si>
  <si>
    <t>Made by: Herzig Melvyn</t>
  </si>
  <si>
    <t>Date</t>
  </si>
  <si>
    <t>Comments</t>
  </si>
  <si>
    <t>Meeting</t>
  </si>
  <si>
    <t>Weekly meeting with Prof. Yann Thoma</t>
  </si>
  <si>
    <t>Visit of CHUV (pharmacology) by Thierry Buclin</t>
  </si>
  <si>
    <t xml:space="preserve"> Theoritical presentation of TDM and demonstration of the complete process</t>
  </si>
  <si>
    <t>Tucuxi and pharmacology introduction.
Main tasks:
- Read both old TB 
- Read scientific documentation provided
- Compile Tucucore</t>
  </si>
  <si>
    <t>Time</t>
  </si>
  <si>
    <t>Total</t>
  </si>
  <si>
    <t>Work diary creation</t>
  </si>
  <si>
    <t>Setup</t>
  </si>
  <si>
    <t>I was confused about the type of IDE I was supposed to use. My first attempt was to use VS22 because I noticed a sln file. The problem was that the solution was for VS15. I installed it but it did not work aswell. QT was failing aswell because some preprocessor code was not noticing that I was running under Windows.</t>
  </si>
  <si>
    <t>Development environment setup and core compilation (failing)</t>
  </si>
  <si>
    <t xml:space="preserve">Core compilation (success) </t>
  </si>
  <si>
    <t>After a conversation with Prof. Yann Thoma who corrected some problems, the compilation under Windows with QT + MinGW is now succesfull. But there is 940 compiler warnings.</t>
  </si>
  <si>
    <t>TB: TuberXpert</t>
  </si>
  <si>
    <t>Updating TB word documentation in english</t>
  </si>
  <si>
    <t xml:space="preserve">The original document was written in French </t>
  </si>
  <si>
    <t>Writing thesis introduction</t>
  </si>
  <si>
    <t>Covered the following topics: TDM, Tanzania, and TuberXpert</t>
  </si>
  <si>
    <t>Setting up hello word</t>
  </si>
  <si>
    <t>Probleme with Cmake, had to switch to Qmake (no configuration needed).
Additionnal time has been used to search the best way to execute tucuxi-core</t>
  </si>
  <si>
    <t>Connecting tuberXpert to exe from tucucli</t>
  </si>
  <si>
    <t>I managed to do a meta project which is formed by tuberXpert and tucucli,</t>
  </si>
  <si>
    <t>First draft of application flow/main components</t>
  </si>
  <si>
    <t>Reading parts of Tucucli doc.</t>
  </si>
  <si>
    <t>Used to get a first step in understanding query xml structure</t>
  </si>
  <si>
    <t>Software requierments</t>
  </si>
  <si>
    <t>Based on SciencePart_Thoma.pdf</t>
  </si>
  <si>
    <t>Correcting software needs and application global flow. Beginning of technology choices</t>
  </si>
  <si>
    <t>First manipulations with QT linguistic module</t>
  </si>
  <si>
    <t>Simple hello world with french translation.</t>
  </si>
  <si>
    <t>At the end of the meeting, the following tasks must be done in the near future
- Introduction writing
- Guess at the software specification
- Guess at the software behavior (decision tree)
- Compile a first QT program that talks with tucuxi core</t>
  </si>
  <si>
    <t>Reading tucucli code, first approach to query/drug file and considerations</t>
  </si>
  <si>
    <t xml:space="preserve">Reading what happens in tucucli, everything just before real computation starts. How to validate query, certify that the data are good. Attempt to decide how to chose a drug file based on a query file. </t>
  </si>
  <si>
    <t>Reviewing Application global flow, discussion about input validation. 
For next time, first draft of input/query file validation.</t>
  </si>
  <si>
    <t>Understanding how to use tucucli</t>
  </si>
  <si>
    <t>Lost some time to understand that drug files directory was mandatory while trying each query input files.</t>
  </si>
  <si>
    <t>Checking what can be validated by the system before starting computation.</t>
  </si>
  <si>
    <t>Input validation.</t>
  </si>
  <si>
    <t>Checking what can be validated until traits.</t>
  </si>
  <si>
    <t>Lots of informations leading to some questions for next meeting.</t>
  </si>
  <si>
    <t>Q&amp;A about input validation. Request is not a mandatory input element since the CDSS will make it itself.</t>
  </si>
  <si>
    <t>Understanding the end of query from traits and query response, listing checks for validation and beginning to make a decision tree.</t>
  </si>
  <si>
    <t>Drugfile evaluation algorithm modelisation and core code analysis,</t>
  </si>
  <si>
    <t>Trying to figure out where are the covariates checked in the core (apriori nowhere).</t>
  </si>
  <si>
    <t>decision tree</t>
  </si>
  <si>
    <t>dosage, sample and targets</t>
  </si>
  <si>
    <t>Summary of query analysis, what we know at the end.</t>
  </si>
  <si>
    <t>Input validation, system behavior. Q&amp;A.</t>
  </si>
  <si>
    <t>Finalisation of the first draft of decisions.  Writing in report the checks that will be performed.</t>
  </si>
  <si>
    <t>An email has been sent to Mr.Buclin and Mrs.Guidi to ask their point of view on the checks we are planning to perform.</t>
  </si>
  <si>
    <t>Writing TuberXpert specification for 14.04 deadline, primary planning</t>
  </si>
  <si>
    <t>Correctings some texts and decision tree continuation</t>
  </si>
  <si>
    <t>Trying to figure out how to correctly configure adjustmentTrait which led to questions for today's meeting,</t>
  </si>
  <si>
    <t>system behavior. Q&amp;A. Adjustment trait option can be part of our customized request. Do not use Qt object. Report will be made normally out of HTML template.</t>
  </si>
  <si>
    <t>Based on flow chart of decision tree</t>
  </si>
  <si>
    <t>Validation of adjustment request formation and report zoning</t>
  </si>
  <si>
    <t>Starting to implement xml translation system</t>
  </si>
  <si>
    <t>Ending to implement xml translation system and testing. 
First draft of custom query xsd</t>
  </si>
  <si>
    <t>Consideration about how I can make a flexible program: studying abstract factory.
The idea is to generate a factory per drug and each drug could implement his specific steps.</t>
  </si>
  <si>
    <t>One way is to use a template engine:
https://github.com/pantor/inja (work with c++17) 
Very little options in c++, so tried to explore alternatives as python or javascript (For example pug)</t>
  </si>
  <si>
    <t>Query importation</t>
  </si>
  <si>
    <t>Making custom importer and data objects</t>
  </si>
  <si>
    <t>Making custom importer and data objects, lost one hour making administrative data that were already in core. ImportDocument left to go.</t>
  </si>
  <si>
    <t>requestXpert importation left and testing.</t>
  </si>
  <si>
    <t>requestXpert importation implemented and started to test it.</t>
  </si>
  <si>
    <t>administrative data tested. Custom query left to go.</t>
  </si>
  <si>
    <t>Discussion about what has been achieved during the last two weeks. 
Need to change the languagemanager to not handle language folder in it.
For next week, try to focus on requiered data output and repport draft.</t>
  </si>
  <si>
    <t>Custom query importation tested. Following the weekly meeting I adjusted the language manager and his tests.</t>
  </si>
  <si>
    <t>Left to include graphics and conclusion.</t>
  </si>
  <si>
    <t>First draft entierly made. Submission left.</t>
  </si>
  <si>
    <t>The topic of the meeting was to know how to decide if the program should allow or not loading dose and rest period. The answer is it depends of the drugs. This information will be included in drug model as loadingDoseRecommended and restPeriodRecommended elements.</t>
  </si>
  <si>
    <t>LanguageManager and related class to XpertQueryImport</t>
  </si>
  <si>
    <t xml:space="preserve">Adminsitrative data, covariates and dosages </t>
  </si>
  <si>
    <t>samples</t>
  </si>
  <si>
    <t>Draft of the report validated, discussion about intermediate documentation, Q&amp;A</t>
  </si>
  <si>
    <t>Looking for the best way to generate report:
- C++ with nodejs: Heavy to implement for "graphing".
- Nodejs with C++. Heavy, would need to rethink whole code base.
- Separate project. Need installation, reparsing, uniformity loss, hard to test on every device (for example windows miss some dll on release out of QT)
- Pure c++ (prefered): Easier on all aspect but doesn't solve the graph generation: Maybe inject needed values in the html...
Discovering how to use the js files to generate graphs.
Looking for a way to convert HTML to pdf nicely. The challenge is that I have only a client side web page. There was wkhtmltopdf but it only works with ES5 js. If I have the time I will convert the js to ES5 with Babel. For now, I have adapted the code to work with html2pdf. At first, it was not working because of CORS when copying image from disk on canvas, I was recieving an error because of tainted canvas. The workaround was to use base64 images instead of loading them from disk.</t>
  </si>
  <si>
    <t>Correcting elements according to Prof. Yann Thoma suggestions for intermediate deadline.</t>
  </si>
  <si>
    <t>Tried to use CLI. To achieve this, I had to convert ES6 js into ES5 js. To discuss if I should try the C library.</t>
  </si>
  <si>
    <t>Adding a chapter about how tuberXpert will create adjustment request.</t>
  </si>
  <si>
    <t>Beginning the chapter about adjustments in report. Refactoring requierments.</t>
  </si>
  <si>
    <t>Validation of which PDF generation option to chose. Question about intervals and targets thresholds. Targets threshold will be added in the response. The intervalle are not easy to retrieve in this work. We can make an approximation with an intake extractor.</t>
  </si>
  <si>
    <t>Almost writing the rest of the output format.</t>
  </si>
  <si>
    <t>Writing the rest of the output format. Writing query specification.</t>
  </si>
  <si>
    <t>Writing the implementation of the query import and the language manager. Global review.</t>
  </si>
  <si>
    <t>Last review before intermediate report.</t>
  </si>
  <si>
    <t>Adding query import test and setting structure for drug model selection.</t>
  </si>
  <si>
    <t>The query import was not tested when the xml document could not be created.
Setting up the base class structure for the drug model selection.</t>
  </si>
  <si>
    <t>Almost over. Dissimilarity score left and refactoring.</t>
  </si>
  <si>
    <t>Creating some result class (for Drug and covariate) to store the validations/decisions. Not finished. Starting the calculation of dissimilarity score.</t>
  </si>
  <si>
    <t>Questions about core result, language and covariate handling.</t>
  </si>
  <si>
    <t>All steps implemented, need handling language and refactoring,</t>
  </si>
  <si>
    <t>Refacotring the main, a little bit languageManager and while refactoring drug model selection, try a new architecture.</t>
  </si>
  <si>
    <t>According to the pervious comment, now the XpertResult on the constructor builds a vector of XpertRequestResult that contains a drugTreatment, an error message and the XpertRequestData. An XpertQueryToCoreExtractor that extends QueryToCoreExtractor had been implemented, it returns a drug treatment only if there is only one drug matching. After the XpertResult construction, the XpertQueryData pointer is invalidated because it is moved into the constructor.
Testing XpertResult constructor and XpertqueryToCoreExtractor</t>
  </si>
  <si>
    <t xml:space="preserve">I don't like my current start, I think I am going to start again: 
1) The query is imported by the XpertQueryImporter
2) The XpertResult is constructed by receiving the xpertquerydata (by value to take ownership), it extracts the administrative data and it creates an internal vector with XpertRequestResult that contains (at that point) the drugTreatment and a nullptr on a drugModel, and request identifier.
3) The drugModelSelector can slightly stay the same but with some refactor, it will take a single argument that is the XpertResult object. Then it will still check that the formultation and routes are all equivalent in drugTreatment, it looks for a drug model that contains such a forumulation and route. Then if the drugTreatment is compatible (DrugDomainContraintsEvaluator), it calculate its score.
</t>
  </si>
  <si>
    <t>Finally something that does not look bad. Need to comment a bit and start testing.</t>
  </si>
  <si>
    <t>Removing some optional to be consistent, commenting model selection and adapting a bit of documentation.</t>
  </si>
  <si>
    <t>Commenting and code cleaning.</t>
  </si>
  <si>
    <t>Creating the evaluator class and the data classes.</t>
  </si>
  <si>
    <t>Commenting and finishing dose validator testing.</t>
  </si>
  <si>
    <t>Almost over need to try a test with all dosage types.</t>
  </si>
  <si>
    <t>Everything seems to work as expected now. Can jump to the samples evaluation.</t>
  </si>
  <si>
    <t>Adding an abstract result class.</t>
  </si>
  <si>
    <t xml:space="preserve">Grouping pointer to original object and warning into a generic abstract class. </t>
  </si>
  <si>
    <t>Implementing sample validator</t>
  </si>
  <si>
    <t>Partially implemented the sample validator result class</t>
  </si>
  <si>
    <t>Changing code and documentation in response of meeting.</t>
  </si>
  <si>
    <t>Removing white spaces from xml
Removing localComputation optional
Adjusting ClinicalData with clinicalDataEntries and xsd validation
Exporting main in a separate class
Adding the possibility to set a "date of execution" in the ModelSelector to avoir using DateTime::now and to allow testing to be idempotent 
Utils testing (double decimal doubleToStr and langToStr).
Handling Translatable string in model selector for validation, name and description.</t>
  </si>
  <si>
    <t>Got a tooBig error.</t>
  </si>
  <si>
    <t>Creating the base code to perform percentile request.</t>
  </si>
  <si>
    <t>Seems to work well. Left to test and clean the code.</t>
  </si>
  <si>
    <t>It works fine, left to comment and clean.</t>
  </si>
  <si>
    <t>Samples evaluation commeting and adding on additionnaly test.</t>
  </si>
  <si>
    <t>Samples evaluation testing.</t>
  </si>
  <si>
    <t>Samples evaluation.</t>
  </si>
  <si>
    <t>Testing dosage validator.</t>
  </si>
  <si>
    <t>Implementing dosage validator.</t>
  </si>
  <si>
    <t>Drug model selector debugging and testing.</t>
  </si>
  <si>
    <t>Implementing the drug model selector.</t>
  </si>
  <si>
    <t>Refactoring the XpertResult and testing.</t>
  </si>
  <si>
    <t>Weekly meeting with Prof. Yann Thoma.</t>
  </si>
  <si>
    <t>Documentation adjustment and decision tree.</t>
  </si>
  <si>
    <t>Designing final decisions, starting protytpe of final report.</t>
  </si>
  <si>
    <t>Writing  in documentation program execution steps .</t>
  </si>
  <si>
    <t>Writing in documentation program execution steps .</t>
  </si>
  <si>
    <t>decision tree, final report zoning.</t>
  </si>
  <si>
    <t>Translator class.</t>
  </si>
  <si>
    <t>Translator class, Translator tests, Custom query xsd.</t>
  </si>
  <si>
    <t>Program argument parsing and considerations.</t>
  </si>
  <si>
    <t>Research about a way to generate the report.</t>
  </si>
  <si>
    <t>Query importation.</t>
  </si>
  <si>
    <t>Query importation and testing.</t>
  </si>
  <si>
    <t>Query importation  testing.</t>
  </si>
  <si>
    <t>Query importation  testing, language manager adjustments.</t>
  </si>
  <si>
    <t>Added the tests made on Query importation.</t>
  </si>
  <si>
    <t>Designing first draft of report.</t>
  </si>
  <si>
    <t>Meeting with Prof. Yann Thoma, Dr. Monia Guidi &amp; Dr Thierry Buclin.</t>
  </si>
  <si>
    <t>UML.</t>
  </si>
  <si>
    <t>Description of output.</t>
  </si>
  <si>
    <t>Searching the best way to produce report, playing with graphing scripts.</t>
  </si>
  <si>
    <t>Documentation refactoring.</t>
  </si>
  <si>
    <t>Trying wkhtmltopdf to generate script.</t>
  </si>
  <si>
    <t>Documentation and documentation refactoring.</t>
  </si>
  <si>
    <t>Documentation .</t>
  </si>
  <si>
    <t>Drug model selection.</t>
  </si>
  <si>
    <t>Thinking about a good architecture.</t>
  </si>
  <si>
    <t>Target evaluation implementation and starting tests.</t>
  </si>
  <si>
    <t>Target evaluation testing, commenting, starting to implement the adjustment trait creator.</t>
  </si>
  <si>
    <t>The adjustment trait is almost over. Just trying to implement the algorithm to get the adjustment date. When this is done, the class is almost over.</t>
  </si>
  <si>
    <t>First prototype of dosage adjustment time calculator.</t>
  </si>
  <si>
    <t>It's a draft. Need validation before clean version.</t>
  </si>
  <si>
    <t>Implemented the adjustment trait creator, started its testing and refactored some previous tests.</t>
  </si>
  <si>
    <t>Tried to limit the duplication of drug model strings in the same tests structs.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</si>
</sst>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100C]d\ mmm\ yy;@"/>
    <numFmt numFmtId="165" formatCode="[$-F400]h:mm:ss\ AM/PM"/>
    <numFmt numFmtId="166" formatCode="hh\.mm&quot; h&quot;;@"/>
    <numFmt numFmtId="167" formatCode="\ [h]:mm;@"/>
  </numFmts>
  <fonts count="7" x14ac:knownFonts="1">
    <font>
      <sz val="11"/>
      <color theme="1"/>
      <name val="Calibri"/>
      <family val="2"/>
      <scheme val="minor"/>
    </font>
    <font>
      <b/>
      <sz val="12"/>
      <color theme="1"/>
      <name val="Calibri"/>
      <family val="2"/>
      <scheme val="minor"/>
    </font>
    <font>
      <b/>
      <u/>
      <sz val="11"/>
      <color theme="1"/>
      <name val="Calibri"/>
      <family val="2"/>
      <scheme val="minor"/>
    </font>
    <font>
      <b/>
      <sz val="20"/>
      <name val="Tahoma"/>
      <family val="2"/>
    </font>
    <font>
      <sz val="11"/>
      <name val="Tahoma"/>
      <family val="2"/>
    </font>
    <font>
      <sz val="12"/>
      <color rgb="FF000000"/>
      <name val="Helvetica"/>
    </font>
    <font>
      <b/>
      <sz val="11"/>
      <name val="Tahoma"/>
      <family val="2"/>
    </font>
  </fonts>
  <fills count="6">
    <fill>
      <patternFill patternType="none"/>
    </fill>
    <fill>
      <patternFill patternType="gray125"/>
    </fill>
    <fill>
      <patternFill patternType="solid">
        <fgColor theme="4" tint="0.59999389629810485"/>
        <bgColor indexed="64"/>
      </patternFill>
    </fill>
    <fill>
      <patternFill patternType="solid">
        <fgColor theme="2"/>
        <bgColor indexed="64"/>
      </patternFill>
    </fill>
    <fill>
      <patternFill patternType="solid">
        <fgColor theme="0"/>
        <bgColor indexed="64"/>
      </patternFill>
    </fill>
    <fill>
      <patternFill patternType="solid">
        <fgColor theme="0" tint="-4.9989318521683403E-2"/>
        <bgColor indexed="64"/>
      </patternFill>
    </fill>
  </fills>
  <borders count="3">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s>
  <cellStyleXfs count="1">
    <xf numFmtId="0" fontId="0" fillId="0" borderId="0"/>
  </cellStyleXfs>
  <cellXfs count="48">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Alignment="1" applyProtection="1">
      <alignment horizontal="center" vertical="center"/>
      <protection locked="0"/>
    </xf>
    <xf numFmtId="0" fontId="0" fillId="0" borderId="0" xfId="0" applyProtection="1">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6" fontId="0" fillId="0" borderId="0" xfId="0" applyNumberFormat="1" applyAlignment="1" applyProtection="1">
      <alignment horizontal="center" vertical="center"/>
      <protection locked="0"/>
    </xf>
    <xf numFmtId="0" fontId="4" fillId="0" borderId="0" xfId="0" applyFont="1"/>
    <xf numFmtId="0" fontId="4" fillId="0" borderId="0" xfId="0" applyFont="1" applyAlignment="1"/>
    <xf numFmtId="0" fontId="1" fillId="2" borderId="1" xfId="0" applyFont="1" applyFill="1" applyBorder="1" applyAlignment="1" applyProtection="1">
      <alignment horizontal="center" vertical="center"/>
      <protection locked="0"/>
    </xf>
    <xf numFmtId="1" fontId="1" fillId="2" borderId="1" xfId="0" applyNumberFormat="1" applyFont="1" applyFill="1" applyBorder="1" applyAlignment="1" applyProtection="1">
      <alignment horizontal="center" vertical="center"/>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1" fontId="0" fillId="3" borderId="1" xfId="0" applyNumberFormat="1" applyFill="1" applyBorder="1" applyAlignment="1" applyProtection="1">
      <alignment horizontal="center" vertical="center"/>
    </xf>
    <xf numFmtId="0" fontId="0" fillId="3" borderId="1" xfId="0" applyFill="1" applyBorder="1" applyAlignment="1" applyProtection="1">
      <alignment horizontal="center" vertical="center"/>
      <protection locked="0"/>
    </xf>
    <xf numFmtId="0" fontId="0" fillId="3" borderId="1" xfId="0" applyFill="1" applyBorder="1" applyAlignment="1" applyProtection="1">
      <alignment horizontal="left" vertical="center" wrapText="1"/>
      <protection locked="0"/>
    </xf>
    <xf numFmtId="1" fontId="0" fillId="4" borderId="1" xfId="0" applyNumberFormat="1" applyFill="1" applyBorder="1" applyAlignment="1" applyProtection="1">
      <alignment horizontal="center" vertical="center"/>
    </xf>
    <xf numFmtId="0" fontId="0" fillId="4" borderId="1" xfId="0" applyFill="1" applyBorder="1" applyAlignment="1" applyProtection="1">
      <alignment horizontal="center" vertical="center"/>
      <protection locked="0"/>
    </xf>
    <xf numFmtId="0" fontId="0" fillId="4" borderId="1" xfId="0" applyFill="1" applyBorder="1" applyAlignment="1" applyProtection="1">
      <alignment horizontal="left" vertical="center" wrapText="1"/>
      <protection locked="0"/>
    </xf>
    <xf numFmtId="0" fontId="4" fillId="0" borderId="0" xfId="0" applyFont="1" applyAlignment="1">
      <alignment horizontal="left" vertical="center" wrapText="1"/>
    </xf>
    <xf numFmtId="0" fontId="4" fillId="0" borderId="0" xfId="0" applyFont="1" applyAlignment="1">
      <alignment vertical="center"/>
    </xf>
    <xf numFmtId="2" fontId="0" fillId="0" borderId="0" xfId="0" applyNumberFormat="1" applyProtection="1">
      <protection locked="0"/>
    </xf>
    <xf numFmtId="164" fontId="0" fillId="0" borderId="2" xfId="0" applyNumberFormat="1" applyBorder="1" applyAlignment="1" applyProtection="1">
      <alignment horizontal="center" vertical="center"/>
      <protection locked="0"/>
    </xf>
    <xf numFmtId="164" fontId="0" fillId="3" borderId="2" xfId="0" applyNumberFormat="1" applyFill="1" applyBorder="1" applyAlignment="1" applyProtection="1">
      <alignment horizontal="center" vertical="center"/>
      <protection locked="0"/>
    </xf>
    <xf numFmtId="166" fontId="0" fillId="3" borderId="1" xfId="0" applyNumberFormat="1" applyFill="1" applyBorder="1" applyAlignment="1" applyProtection="1">
      <alignment horizontal="center" vertical="center"/>
      <protection locked="0"/>
    </xf>
    <xf numFmtId="166" fontId="0" fillId="0" borderId="1" xfId="0" applyNumberFormat="1" applyBorder="1" applyAlignment="1" applyProtection="1">
      <alignment horizontal="center" vertical="center"/>
      <protection locked="0"/>
    </xf>
    <xf numFmtId="165" fontId="0" fillId="0" borderId="0" xfId="0" applyNumberFormat="1" applyAlignment="1" applyProtection="1">
      <alignment horizontal="center" vertical="center"/>
      <protection locked="0"/>
    </xf>
    <xf numFmtId="0" fontId="6" fillId="0" borderId="0" xfId="0" applyFont="1" applyAlignment="1">
      <alignment horizontal="center"/>
    </xf>
    <xf numFmtId="167" fontId="6" fillId="0" borderId="0" xfId="0" applyNumberFormat="1" applyFont="1" applyAlignment="1">
      <alignment horizontal="center"/>
    </xf>
    <xf numFmtId="164" fontId="0" fillId="4" borderId="2" xfId="0" applyNumberFormat="1" applyFill="1" applyBorder="1" applyAlignment="1" applyProtection="1">
      <alignment horizontal="center" vertical="center"/>
      <protection locked="0"/>
    </xf>
    <xf numFmtId="166" fontId="0" fillId="4" borderId="1" xfId="0" applyNumberFormat="1" applyFill="1" applyBorder="1" applyAlignment="1" applyProtection="1">
      <alignment horizontal="center" vertical="center"/>
      <protection locked="0"/>
    </xf>
    <xf numFmtId="164" fontId="0" fillId="0" borderId="2" xfId="0" applyNumberFormat="1" applyFill="1" applyBorder="1" applyAlignment="1" applyProtection="1">
      <alignment horizontal="center" vertical="center"/>
      <protection locked="0"/>
    </xf>
    <xf numFmtId="1" fontId="0" fillId="0" borderId="1" xfId="0" applyNumberFormat="1" applyFill="1" applyBorder="1" applyAlignment="1" applyProtection="1">
      <alignment horizontal="center" vertical="center"/>
    </xf>
    <xf numFmtId="166" fontId="0" fillId="0" borderId="1" xfId="0" applyNumberFormat="1" applyFill="1" applyBorder="1" applyAlignment="1" applyProtection="1">
      <alignment horizontal="center" vertical="center"/>
      <protection locked="0"/>
    </xf>
    <xf numFmtId="0" fontId="0" fillId="0" borderId="1" xfId="0" applyFill="1" applyBorder="1" applyAlignment="1" applyProtection="1">
      <alignment horizontal="center" vertical="center"/>
      <protection locked="0"/>
    </xf>
    <xf numFmtId="0" fontId="0" fillId="0" borderId="1" xfId="0" applyFill="1" applyBorder="1" applyAlignment="1" applyProtection="1">
      <alignment horizontal="left" vertical="center" wrapText="1"/>
      <protection locked="0"/>
    </xf>
    <xf numFmtId="164" fontId="0" fillId="5" borderId="2" xfId="0" applyNumberFormat="1" applyFill="1" applyBorder="1" applyAlignment="1" applyProtection="1">
      <alignment horizontal="center" vertical="center"/>
      <protection locked="0"/>
    </xf>
    <xf numFmtId="1" fontId="0" fillId="5" borderId="1" xfId="0" applyNumberFormat="1" applyFill="1" applyBorder="1" applyAlignment="1" applyProtection="1">
      <alignment horizontal="center" vertical="center"/>
    </xf>
    <xf numFmtId="166" fontId="0" fillId="5" borderId="1" xfId="0" applyNumberFormat="1" applyFill="1" applyBorder="1" applyAlignment="1" applyProtection="1">
      <alignment horizontal="center" vertical="center"/>
      <protection locked="0"/>
    </xf>
    <xf numFmtId="0" fontId="0" fillId="5" borderId="1" xfId="0" applyFill="1" applyBorder="1" applyAlignment="1" applyProtection="1">
      <alignment horizontal="center" vertical="center"/>
      <protection locked="0"/>
    </xf>
    <xf numFmtId="0" fontId="0" fillId="5" borderId="1" xfId="0" applyFill="1" applyBorder="1" applyAlignment="1" applyProtection="1">
      <alignment horizontal="left" vertical="center" wrapText="1"/>
      <protection locked="0"/>
    </xf>
    <xf numFmtId="0" fontId="3" fillId="0" borderId="0" xfId="0" applyFont="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6</xdr:row>
          <xdr:rowOff>38100</xdr:rowOff>
        </xdr:from>
        <xdr:to>
          <xdr:col>0</xdr:col>
          <xdr:colOff>752475</xdr:colOff>
          <xdr:row>7</xdr:row>
          <xdr:rowOff>161925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1200" b="0" i="0" u="none" strike="noStrike" baseline="0">
                  <a:solidFill>
                    <a:srgbClr val="000000"/>
                  </a:solidFill>
                  <a:latin typeface="Helvetica"/>
                  <a:cs typeface="Helvetica"/>
                </a:rPr>
                <a:t>Add entry</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9</xdr:row>
          <xdr:rowOff>28575</xdr:rowOff>
        </xdr:from>
        <xdr:to>
          <xdr:col>0</xdr:col>
          <xdr:colOff>990600</xdr:colOff>
          <xdr:row>10</xdr:row>
          <xdr:rowOff>76200</xdr:rowOff>
        </xdr:to>
        <xdr:sp macro="" textlink="">
          <xdr:nvSpPr>
            <xdr:cNvPr id="3073" name="Button 1" descr="Add task"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1200" b="0" i="0" u="none" strike="noStrike" baseline="0">
                  <a:solidFill>
                    <a:srgbClr val="000000"/>
                  </a:solidFill>
                  <a:latin typeface="Helvetica"/>
                  <a:cs typeface="Helvetica"/>
                </a:rPr>
                <a:t>Add task</a:t>
              </a:r>
            </a:p>
          </xdr:txBody>
        </xdr:sp>
        <xdr:clientData/>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le1"/>
  <dimension ref="A1:I104"/>
  <sheetViews>
    <sheetView tabSelected="1" zoomScaleNormal="100" workbookViewId="0">
      <selection activeCell="E5" sqref="E5"/>
    </sheetView>
  </sheetViews>
  <sheetFormatPr baseColWidth="10" defaultColWidth="9.140625" defaultRowHeight="15" x14ac:dyDescent="0.25"/>
  <cols>
    <col min="1" max="1" width="12" style="3" customWidth="1"/>
    <col min="2" max="2" width="12.140625" style="11" hidden="1" customWidth="1"/>
    <col min="3" max="3" width="12.42578125" style="8" customWidth="1"/>
    <col min="4" max="4" width="18.140625" style="3" customWidth="1"/>
    <col min="5" max="5" width="65.7109375" style="9" customWidth="1"/>
    <col min="6" max="6" width="75.140625" style="9" customWidth="1"/>
    <col min="7" max="16384" width="9.140625" style="4"/>
  </cols>
  <sheetData>
    <row r="1" spans="1:9" s="13" customFormat="1" ht="14.1" customHeight="1" x14ac:dyDescent="0.2">
      <c r="A1" s="47" t="s">
        <v>26</v>
      </c>
      <c r="B1" s="47"/>
      <c r="C1" s="47"/>
      <c r="D1" s="47"/>
      <c r="E1" s="47"/>
      <c r="F1" s="47"/>
    </row>
    <row r="2" spans="1:9" s="13" customFormat="1" ht="14.25" x14ac:dyDescent="0.2">
      <c r="A2" s="47"/>
      <c r="B2" s="47"/>
      <c r="C2" s="47"/>
      <c r="D2" s="47"/>
      <c r="E2" s="47"/>
      <c r="F2" s="47"/>
    </row>
    <row r="3" spans="1:9" s="13" customFormat="1" ht="20.25" customHeight="1" x14ac:dyDescent="0.2">
      <c r="D3" s="14"/>
      <c r="E3" s="26" t="s">
        <v>10</v>
      </c>
      <c r="F3" s="25"/>
    </row>
    <row r="4" spans="1:9" s="13" customFormat="1" ht="20.25" customHeight="1" x14ac:dyDescent="0.2">
      <c r="C4" s="33" t="s">
        <v>19</v>
      </c>
      <c r="D4" s="14"/>
      <c r="E4" s="26"/>
      <c r="F4" s="25"/>
    </row>
    <row r="5" spans="1:9" s="13" customFormat="1" ht="20.25" customHeight="1" x14ac:dyDescent="0.2">
      <c r="C5" s="34">
        <f>SUM($C$10:C288)</f>
        <v>10.288194444444439</v>
      </c>
      <c r="D5" s="14"/>
      <c r="E5" s="26"/>
      <c r="F5" s="25"/>
    </row>
    <row r="6" spans="1:9" s="13" customFormat="1" ht="20.25" customHeight="1" x14ac:dyDescent="0.2">
      <c r="D6" s="14"/>
      <c r="E6" s="26"/>
      <c r="F6" s="25"/>
    </row>
    <row r="9" spans="1:9" ht="24" customHeight="1" x14ac:dyDescent="0.25">
      <c r="A9" s="15" t="s">
        <v>11</v>
      </c>
      <c r="B9" s="16" t="s">
        <v>5</v>
      </c>
      <c r="C9" s="17" t="s">
        <v>18</v>
      </c>
      <c r="D9" s="15" t="s">
        <v>1</v>
      </c>
      <c r="E9" s="18" t="s">
        <v>0</v>
      </c>
      <c r="F9" s="18" t="s">
        <v>12</v>
      </c>
      <c r="H9" s="27"/>
    </row>
    <row r="10" spans="1:9" ht="30" x14ac:dyDescent="0.25">
      <c r="A10" s="35">
        <v>44729</v>
      </c>
      <c r="B10" s="22">
        <f t="shared" ref="B10" si="0">WEEKNUM(A10)</f>
        <v>25</v>
      </c>
      <c r="C10" s="36">
        <v>0.25</v>
      </c>
      <c r="D10" s="23" t="s">
        <v>8</v>
      </c>
      <c r="E10" s="24" t="s">
        <v>163</v>
      </c>
      <c r="F10" s="24" t="s">
        <v>164</v>
      </c>
      <c r="I10" s="7"/>
    </row>
    <row r="11" spans="1:9" x14ac:dyDescent="0.25">
      <c r="A11" s="35">
        <v>44723</v>
      </c>
      <c r="B11" s="22">
        <f t="shared" ref="B11" si="1">WEEKNUM(A11)</f>
        <v>24</v>
      </c>
      <c r="C11" s="36">
        <v>8.3333333333333329E-2</v>
      </c>
      <c r="D11" s="23" t="s">
        <v>8</v>
      </c>
      <c r="E11" s="24" t="s">
        <v>161</v>
      </c>
      <c r="F11" s="24" t="s">
        <v>162</v>
      </c>
      <c r="I11" s="7"/>
    </row>
    <row r="12" spans="1:9" ht="30" x14ac:dyDescent="0.25">
      <c r="A12" s="35">
        <v>44722</v>
      </c>
      <c r="B12" s="22">
        <f t="shared" ref="B12" si="2">WEEKNUM(A12)</f>
        <v>24</v>
      </c>
      <c r="C12" s="36">
        <v>0.25</v>
      </c>
      <c r="D12" s="23" t="s">
        <v>8</v>
      </c>
      <c r="E12" s="24" t="s">
        <v>159</v>
      </c>
      <c r="F12" s="24" t="s">
        <v>160</v>
      </c>
      <c r="I12" s="7"/>
    </row>
    <row r="13" spans="1:9" x14ac:dyDescent="0.25">
      <c r="A13" s="35">
        <v>44721</v>
      </c>
      <c r="B13" s="22">
        <f t="shared" ref="B13" si="3">WEEKNUM(A13)</f>
        <v>24</v>
      </c>
      <c r="C13" s="36">
        <v>6.25E-2</v>
      </c>
      <c r="D13" s="23" t="s">
        <v>8</v>
      </c>
      <c r="E13" s="24" t="s">
        <v>158</v>
      </c>
      <c r="F13" s="24"/>
      <c r="I13" s="7"/>
    </row>
    <row r="14" spans="1:9" x14ac:dyDescent="0.25">
      <c r="A14" s="35">
        <v>44720</v>
      </c>
      <c r="B14" s="22">
        <f t="shared" ref="B14" si="4">WEEKNUM(A14)</f>
        <v>24</v>
      </c>
      <c r="C14" s="36">
        <v>8.3333333333333329E-2</v>
      </c>
      <c r="D14" s="23" t="s">
        <v>7</v>
      </c>
      <c r="E14" s="24" t="s">
        <v>124</v>
      </c>
      <c r="F14" s="24"/>
      <c r="I14" s="7"/>
    </row>
    <row r="15" spans="1:9" x14ac:dyDescent="0.25">
      <c r="A15" s="35">
        <v>44718</v>
      </c>
      <c r="B15" s="22">
        <f t="shared" ref="B15" si="5">WEEKNUM(A15)</f>
        <v>24</v>
      </c>
      <c r="C15" s="36">
        <v>0.125</v>
      </c>
      <c r="D15" s="23" t="s">
        <v>8</v>
      </c>
      <c r="E15" s="24" t="s">
        <v>125</v>
      </c>
      <c r="F15" s="24" t="s">
        <v>123</v>
      </c>
      <c r="I15" s="7"/>
    </row>
    <row r="16" spans="1:9" x14ac:dyDescent="0.25">
      <c r="A16" s="35">
        <v>44717</v>
      </c>
      <c r="B16" s="22">
        <f t="shared" ref="B16" si="6">WEEKNUM(A16)</f>
        <v>24</v>
      </c>
      <c r="C16" s="36">
        <v>0.16666666666666666</v>
      </c>
      <c r="D16" s="23" t="s">
        <v>8</v>
      </c>
      <c r="E16" s="24" t="s">
        <v>126</v>
      </c>
      <c r="F16" s="24" t="s">
        <v>122</v>
      </c>
      <c r="I16" s="7"/>
    </row>
    <row r="17" spans="1:9" x14ac:dyDescent="0.25">
      <c r="A17" s="35">
        <v>44716</v>
      </c>
      <c r="B17" s="22">
        <f t="shared" ref="B17" si="7">WEEKNUM(A17)</f>
        <v>23</v>
      </c>
      <c r="C17" s="36">
        <v>8.3333333333333329E-2</v>
      </c>
      <c r="D17" s="23" t="s">
        <v>8</v>
      </c>
      <c r="E17" s="24" t="s">
        <v>121</v>
      </c>
      <c r="F17" s="24" t="s">
        <v>120</v>
      </c>
      <c r="I17" s="7"/>
    </row>
    <row r="18" spans="1:9" ht="135" x14ac:dyDescent="0.25">
      <c r="A18" s="35">
        <v>44715</v>
      </c>
      <c r="B18" s="22">
        <f t="shared" ref="B18" si="8">WEEKNUM(A18)</f>
        <v>23</v>
      </c>
      <c r="C18" s="36">
        <v>0.29166666666666669</v>
      </c>
      <c r="D18" s="23" t="s">
        <v>7</v>
      </c>
      <c r="E18" s="24" t="s">
        <v>118</v>
      </c>
      <c r="F18" s="24" t="s">
        <v>119</v>
      </c>
      <c r="I18" s="7"/>
    </row>
    <row r="19" spans="1:9" x14ac:dyDescent="0.25">
      <c r="A19" s="42">
        <v>44715</v>
      </c>
      <c r="B19" s="43">
        <f t="shared" ref="B19" si="9">WEEKNUM(A19)</f>
        <v>23</v>
      </c>
      <c r="C19" s="44">
        <v>4.1666666666666664E-2</v>
      </c>
      <c r="D19" s="45" t="s">
        <v>13</v>
      </c>
      <c r="E19" s="46" t="s">
        <v>114</v>
      </c>
      <c r="F19" s="46" t="s">
        <v>115</v>
      </c>
      <c r="I19" s="7"/>
    </row>
    <row r="20" spans="1:9" x14ac:dyDescent="0.25">
      <c r="A20" s="35">
        <v>44715</v>
      </c>
      <c r="B20" s="22">
        <f t="shared" ref="B20" si="10">WEEKNUM(A20)</f>
        <v>23</v>
      </c>
      <c r="C20" s="36">
        <v>6.25E-2</v>
      </c>
      <c r="D20" s="23" t="s">
        <v>8</v>
      </c>
      <c r="E20" s="24" t="s">
        <v>116</v>
      </c>
      <c r="F20" s="24" t="s">
        <v>117</v>
      </c>
      <c r="I20" s="7"/>
    </row>
    <row r="21" spans="1:9" x14ac:dyDescent="0.25">
      <c r="A21" s="35">
        <v>44714</v>
      </c>
      <c r="B21" s="22">
        <f t="shared" ref="B21" si="11">WEEKNUM(A21)</f>
        <v>23</v>
      </c>
      <c r="C21" s="36">
        <v>4.1666666666666664E-2</v>
      </c>
      <c r="D21" s="23" t="s">
        <v>7</v>
      </c>
      <c r="E21" s="24" t="s">
        <v>114</v>
      </c>
      <c r="F21" s="24" t="s">
        <v>115</v>
      </c>
      <c r="I21" s="7"/>
    </row>
    <row r="22" spans="1:9" x14ac:dyDescent="0.25">
      <c r="A22" s="35">
        <v>44713</v>
      </c>
      <c r="B22" s="22">
        <f t="shared" ref="B22" si="12">WEEKNUM(A22)</f>
        <v>23</v>
      </c>
      <c r="C22" s="36">
        <v>0.125</v>
      </c>
      <c r="D22" s="23" t="s">
        <v>7</v>
      </c>
      <c r="E22" s="24" t="s">
        <v>111</v>
      </c>
      <c r="F22" s="24" t="s">
        <v>113</v>
      </c>
      <c r="I22" s="7"/>
    </row>
    <row r="23" spans="1:9" x14ac:dyDescent="0.25">
      <c r="A23" s="35">
        <v>44711</v>
      </c>
      <c r="B23" s="22">
        <f t="shared" ref="B23" si="13">WEEKNUM(A23)</f>
        <v>23</v>
      </c>
      <c r="C23" s="36">
        <v>0.125</v>
      </c>
      <c r="D23" s="23" t="s">
        <v>8</v>
      </c>
      <c r="E23" s="24" t="s">
        <v>127</v>
      </c>
      <c r="F23" s="24" t="s">
        <v>112</v>
      </c>
      <c r="I23" s="7"/>
    </row>
    <row r="24" spans="1:9" x14ac:dyDescent="0.25">
      <c r="A24" s="35">
        <v>44710</v>
      </c>
      <c r="B24" s="22">
        <f t="shared" ref="B24" si="14">WEEKNUM(A24)</f>
        <v>23</v>
      </c>
      <c r="C24" s="36">
        <v>0.17708333333333334</v>
      </c>
      <c r="D24" s="23" t="s">
        <v>8</v>
      </c>
      <c r="E24" s="24" t="s">
        <v>128</v>
      </c>
      <c r="F24" s="24" t="s">
        <v>110</v>
      </c>
      <c r="I24" s="7"/>
    </row>
    <row r="25" spans="1:9" ht="30" x14ac:dyDescent="0.25">
      <c r="A25" s="35">
        <v>44709</v>
      </c>
      <c r="B25" s="22">
        <f t="shared" ref="B25" si="15">WEEKNUM(A25)</f>
        <v>22</v>
      </c>
      <c r="C25" s="36">
        <v>0.1875</v>
      </c>
      <c r="D25" s="23" t="s">
        <v>7</v>
      </c>
      <c r="E25" s="24" t="s">
        <v>109</v>
      </c>
      <c r="F25" s="24" t="s">
        <v>108</v>
      </c>
      <c r="I25" s="7"/>
    </row>
    <row r="26" spans="1:9" x14ac:dyDescent="0.25">
      <c r="A26" s="35">
        <v>44708</v>
      </c>
      <c r="B26" s="22">
        <f t="shared" ref="B26" si="16">WEEKNUM(A26)</f>
        <v>22</v>
      </c>
      <c r="C26" s="36">
        <v>0.3125</v>
      </c>
      <c r="D26" s="23" t="s">
        <v>8</v>
      </c>
      <c r="E26" s="24" t="s">
        <v>129</v>
      </c>
      <c r="F26" s="24" t="s">
        <v>107</v>
      </c>
      <c r="I26" s="7"/>
    </row>
    <row r="27" spans="1:9" x14ac:dyDescent="0.25">
      <c r="A27" s="35">
        <v>44707</v>
      </c>
      <c r="B27" s="22">
        <f t="shared" ref="B27" si="17">WEEKNUM(A27)</f>
        <v>22</v>
      </c>
      <c r="C27" s="36">
        <v>0.27083333333333331</v>
      </c>
      <c r="D27" s="23" t="s">
        <v>8</v>
      </c>
      <c r="E27" s="24" t="s">
        <v>130</v>
      </c>
      <c r="F27" s="24" t="s">
        <v>107</v>
      </c>
      <c r="I27" s="7"/>
    </row>
    <row r="28" spans="1:9" ht="120" x14ac:dyDescent="0.25">
      <c r="A28" s="35">
        <v>44706</v>
      </c>
      <c r="B28" s="22">
        <f t="shared" ref="B28" si="18">WEEKNUM(A28)</f>
        <v>22</v>
      </c>
      <c r="C28" s="36">
        <v>0.29166666666666669</v>
      </c>
      <c r="D28" s="23" t="s">
        <v>8</v>
      </c>
      <c r="E28" s="24" t="s">
        <v>131</v>
      </c>
      <c r="F28" s="24" t="s">
        <v>105</v>
      </c>
      <c r="I28" s="7"/>
    </row>
    <row r="29" spans="1:9" ht="255" x14ac:dyDescent="0.25">
      <c r="A29" s="35">
        <v>44704</v>
      </c>
      <c r="B29" s="22">
        <f t="shared" ref="B29" si="19">WEEKNUM(A29)</f>
        <v>22</v>
      </c>
      <c r="C29" s="36">
        <v>0.16666666666666666</v>
      </c>
      <c r="D29" s="23" t="s">
        <v>2</v>
      </c>
      <c r="E29" s="24" t="s">
        <v>157</v>
      </c>
      <c r="F29" s="24" t="s">
        <v>106</v>
      </c>
      <c r="I29" s="7"/>
    </row>
    <row r="30" spans="1:9" ht="30" x14ac:dyDescent="0.25">
      <c r="A30" s="35">
        <v>44703</v>
      </c>
      <c r="B30" s="22">
        <f t="shared" ref="B30" si="20">WEEKNUM(A30)</f>
        <v>22</v>
      </c>
      <c r="C30" s="36">
        <v>0.20833333333333334</v>
      </c>
      <c r="D30" s="23" t="s">
        <v>8</v>
      </c>
      <c r="E30" s="24" t="s">
        <v>156</v>
      </c>
      <c r="F30" s="24" t="s">
        <v>104</v>
      </c>
      <c r="I30" s="7"/>
    </row>
    <row r="31" spans="1:9" x14ac:dyDescent="0.25">
      <c r="A31" s="35">
        <v>44702</v>
      </c>
      <c r="B31" s="22">
        <f t="shared" ref="B31" si="21">WEEKNUM(A31)</f>
        <v>21</v>
      </c>
      <c r="C31" s="36">
        <v>0.125</v>
      </c>
      <c r="D31" s="23" t="s">
        <v>8</v>
      </c>
      <c r="E31" s="24" t="s">
        <v>156</v>
      </c>
      <c r="F31" s="24" t="s">
        <v>103</v>
      </c>
      <c r="I31" s="7"/>
    </row>
    <row r="32" spans="1:9" x14ac:dyDescent="0.25">
      <c r="A32" s="42">
        <v>44701</v>
      </c>
      <c r="B32" s="43">
        <f t="shared" ref="B32" si="22">WEEKNUM(A32)</f>
        <v>21</v>
      </c>
      <c r="C32" s="44">
        <v>2.0833333333333332E-2</v>
      </c>
      <c r="D32" s="45" t="s">
        <v>13</v>
      </c>
      <c r="E32" s="46" t="s">
        <v>132</v>
      </c>
      <c r="F32" s="46" t="s">
        <v>102</v>
      </c>
      <c r="I32" s="7"/>
    </row>
    <row r="33" spans="1:9" ht="30" x14ac:dyDescent="0.25">
      <c r="A33" s="35">
        <v>44701</v>
      </c>
      <c r="B33" s="22">
        <f t="shared" ref="B33" si="23">WEEKNUM(A33)</f>
        <v>21</v>
      </c>
      <c r="C33" s="36">
        <v>0.35416666666666669</v>
      </c>
      <c r="D33" s="23" t="s">
        <v>8</v>
      </c>
      <c r="E33" s="24" t="s">
        <v>156</v>
      </c>
      <c r="F33" s="24" t="s">
        <v>101</v>
      </c>
      <c r="I33" s="7"/>
    </row>
    <row r="34" spans="1:9" x14ac:dyDescent="0.25">
      <c r="A34" s="35">
        <v>44700</v>
      </c>
      <c r="B34" s="22">
        <f t="shared" ref="B34" si="24">WEEKNUM(A34)</f>
        <v>21</v>
      </c>
      <c r="C34" s="36">
        <v>8.3333333333333329E-2</v>
      </c>
      <c r="D34" s="23" t="s">
        <v>8</v>
      </c>
      <c r="E34" s="24" t="s">
        <v>156</v>
      </c>
      <c r="F34" s="24" t="s">
        <v>100</v>
      </c>
      <c r="I34" s="7"/>
    </row>
    <row r="35" spans="1:9" ht="30" x14ac:dyDescent="0.25">
      <c r="A35" s="35">
        <v>44699</v>
      </c>
      <c r="B35" s="22">
        <f t="shared" ref="B35" si="25">WEEKNUM(A35)</f>
        <v>21</v>
      </c>
      <c r="C35" s="36">
        <v>0.10416666666666667</v>
      </c>
      <c r="D35" s="23" t="s">
        <v>8</v>
      </c>
      <c r="E35" s="24" t="s">
        <v>98</v>
      </c>
      <c r="F35" s="24" t="s">
        <v>99</v>
      </c>
      <c r="I35" s="7"/>
    </row>
    <row r="36" spans="1:9" x14ac:dyDescent="0.25">
      <c r="A36" s="35">
        <v>44697</v>
      </c>
      <c r="B36" s="22">
        <f t="shared" ref="B36" si="26">WEEKNUM(A36)</f>
        <v>21</v>
      </c>
      <c r="C36" s="36">
        <v>0.125</v>
      </c>
      <c r="D36" s="23" t="s">
        <v>4</v>
      </c>
      <c r="E36" s="24" t="s">
        <v>155</v>
      </c>
      <c r="F36" s="24" t="s">
        <v>97</v>
      </c>
      <c r="I36" s="7"/>
    </row>
    <row r="37" spans="1:9" ht="30" x14ac:dyDescent="0.25">
      <c r="A37" s="35">
        <v>44696</v>
      </c>
      <c r="B37" s="22">
        <f t="shared" ref="B37" si="27">WEEKNUM(A37)</f>
        <v>21</v>
      </c>
      <c r="C37" s="36">
        <v>0.27083333333333331</v>
      </c>
      <c r="D37" s="23" t="s">
        <v>4</v>
      </c>
      <c r="E37" s="24" t="s">
        <v>155</v>
      </c>
      <c r="F37" s="24" t="s">
        <v>96</v>
      </c>
      <c r="I37" s="7"/>
    </row>
    <row r="38" spans="1:9" x14ac:dyDescent="0.25">
      <c r="A38" s="35">
        <v>44695</v>
      </c>
      <c r="B38" s="22">
        <f t="shared" ref="B38" si="28">WEEKNUM(A38)</f>
        <v>20</v>
      </c>
      <c r="C38" s="36">
        <v>0.16666666666666666</v>
      </c>
      <c r="D38" s="23" t="s">
        <v>4</v>
      </c>
      <c r="E38" s="24" t="s">
        <v>155</v>
      </c>
      <c r="F38" s="24" t="s">
        <v>95</v>
      </c>
      <c r="I38" s="7"/>
    </row>
    <row r="39" spans="1:9" x14ac:dyDescent="0.25">
      <c r="A39" s="35">
        <v>44694</v>
      </c>
      <c r="B39" s="22">
        <f t="shared" ref="B39" si="29">WEEKNUM(A39)</f>
        <v>20</v>
      </c>
      <c r="C39" s="36">
        <v>0.20833333333333334</v>
      </c>
      <c r="D39" s="23" t="s">
        <v>4</v>
      </c>
      <c r="E39" s="24" t="s">
        <v>155</v>
      </c>
      <c r="F39" s="24" t="s">
        <v>94</v>
      </c>
      <c r="I39" s="7"/>
    </row>
    <row r="40" spans="1:9" ht="60" x14ac:dyDescent="0.25">
      <c r="A40" s="42">
        <v>44694</v>
      </c>
      <c r="B40" s="43">
        <f t="shared" ref="B40" si="30">WEEKNUM(A40)</f>
        <v>20</v>
      </c>
      <c r="C40" s="44">
        <v>2.0833333333333332E-2</v>
      </c>
      <c r="D40" s="45" t="s">
        <v>13</v>
      </c>
      <c r="E40" s="46" t="s">
        <v>132</v>
      </c>
      <c r="F40" s="46" t="s">
        <v>93</v>
      </c>
      <c r="I40" s="7"/>
    </row>
    <row r="41" spans="1:9" x14ac:dyDescent="0.25">
      <c r="A41" s="35">
        <v>44693</v>
      </c>
      <c r="B41" s="22">
        <f t="shared" ref="B41" si="31">WEEKNUM(A41)</f>
        <v>20</v>
      </c>
      <c r="C41" s="36">
        <v>8.3333333333333329E-2</v>
      </c>
      <c r="D41" s="23" t="s">
        <v>4</v>
      </c>
      <c r="E41" s="24" t="s">
        <v>154</v>
      </c>
      <c r="F41" s="24" t="s">
        <v>92</v>
      </c>
      <c r="I41" s="7"/>
    </row>
    <row r="42" spans="1:9" x14ac:dyDescent="0.25">
      <c r="A42" s="35">
        <v>44692</v>
      </c>
      <c r="B42" s="22">
        <f t="shared" ref="B42" si="32">WEEKNUM(A42)</f>
        <v>20</v>
      </c>
      <c r="C42" s="36">
        <v>0.10416666666666667</v>
      </c>
      <c r="D42" s="23" t="s">
        <v>4</v>
      </c>
      <c r="E42" s="24" t="s">
        <v>154</v>
      </c>
      <c r="F42" s="24" t="s">
        <v>91</v>
      </c>
      <c r="I42" s="7"/>
    </row>
    <row r="43" spans="1:9" ht="30" x14ac:dyDescent="0.25">
      <c r="A43" s="35">
        <v>44691</v>
      </c>
      <c r="B43" s="22">
        <f t="shared" ref="B43" si="33">WEEKNUM(A43)</f>
        <v>20</v>
      </c>
      <c r="C43" s="36">
        <v>2.0833333333333332E-2</v>
      </c>
      <c r="D43" s="23" t="s">
        <v>2</v>
      </c>
      <c r="E43" s="24" t="s">
        <v>153</v>
      </c>
      <c r="F43" s="24" t="s">
        <v>90</v>
      </c>
      <c r="I43" s="7"/>
    </row>
    <row r="44" spans="1:9" ht="30" x14ac:dyDescent="0.25">
      <c r="A44" s="35">
        <v>44690</v>
      </c>
      <c r="B44" s="22">
        <f t="shared" ref="B44" si="34">WEEKNUM(A44)</f>
        <v>20</v>
      </c>
      <c r="C44" s="36">
        <v>6.25E-2</v>
      </c>
      <c r="D44" s="23" t="s">
        <v>4</v>
      </c>
      <c r="E44" s="24" t="s">
        <v>152</v>
      </c>
      <c r="F44" s="24" t="s">
        <v>89</v>
      </c>
      <c r="I44" s="7"/>
    </row>
    <row r="45" spans="1:9" ht="30" x14ac:dyDescent="0.25">
      <c r="A45" s="35">
        <v>44689</v>
      </c>
      <c r="B45" s="22">
        <f t="shared" ref="B45" si="35">WEEKNUM(A45)</f>
        <v>20</v>
      </c>
      <c r="C45" s="36">
        <v>6.25E-2</v>
      </c>
      <c r="D45" s="23" t="s">
        <v>4</v>
      </c>
      <c r="E45" s="24" t="s">
        <v>152</v>
      </c>
      <c r="F45" s="24" t="s">
        <v>89</v>
      </c>
      <c r="I45" s="7"/>
    </row>
    <row r="46" spans="1:9" ht="30" x14ac:dyDescent="0.25">
      <c r="A46" s="35">
        <v>44688</v>
      </c>
      <c r="B46" s="22">
        <f t="shared" ref="B46" si="36">WEEKNUM(A46)</f>
        <v>19</v>
      </c>
      <c r="C46" s="36">
        <v>5.2083333333333336E-2</v>
      </c>
      <c r="D46" s="23" t="s">
        <v>4</v>
      </c>
      <c r="E46" s="24" t="s">
        <v>152</v>
      </c>
      <c r="F46" s="24" t="s">
        <v>89</v>
      </c>
      <c r="I46" s="7"/>
    </row>
    <row r="47" spans="1:9" x14ac:dyDescent="0.25">
      <c r="A47" s="42">
        <v>44687</v>
      </c>
      <c r="B47" s="43">
        <f t="shared" ref="B47" si="37">WEEKNUM(A47)</f>
        <v>19</v>
      </c>
      <c r="C47" s="44">
        <v>2.0833333333333332E-2</v>
      </c>
      <c r="D47" s="45" t="s">
        <v>13</v>
      </c>
      <c r="E47" s="46" t="s">
        <v>132</v>
      </c>
      <c r="F47" s="46" t="s">
        <v>87</v>
      </c>
      <c r="I47" s="7"/>
    </row>
    <row r="48" spans="1:9" ht="255" x14ac:dyDescent="0.25">
      <c r="A48" s="35">
        <v>44687</v>
      </c>
      <c r="B48" s="22">
        <f t="shared" ref="B48" si="38">WEEKNUM(A48)</f>
        <v>19</v>
      </c>
      <c r="C48" s="36">
        <v>0.375</v>
      </c>
      <c r="D48" s="23" t="s">
        <v>2</v>
      </c>
      <c r="E48" s="24" t="s">
        <v>151</v>
      </c>
      <c r="F48" s="24" t="s">
        <v>88</v>
      </c>
      <c r="I48" s="7"/>
    </row>
    <row r="49" spans="1:9" x14ac:dyDescent="0.25">
      <c r="A49" s="35">
        <v>44686</v>
      </c>
      <c r="B49" s="22">
        <f t="shared" ref="B49" si="39">WEEKNUM(A49)</f>
        <v>19</v>
      </c>
      <c r="C49" s="36">
        <v>2.0833333333333332E-2</v>
      </c>
      <c r="D49" s="23" t="s">
        <v>4</v>
      </c>
      <c r="E49" s="24" t="s">
        <v>150</v>
      </c>
      <c r="F49" s="24" t="s">
        <v>86</v>
      </c>
      <c r="I49" s="7"/>
    </row>
    <row r="50" spans="1:9" x14ac:dyDescent="0.25">
      <c r="A50" s="35">
        <v>44685</v>
      </c>
      <c r="B50" s="22">
        <f t="shared" ref="B50" si="40">WEEKNUM(A50)</f>
        <v>19</v>
      </c>
      <c r="C50" s="36">
        <v>0.125</v>
      </c>
      <c r="D50" s="23" t="s">
        <v>4</v>
      </c>
      <c r="E50" s="24" t="s">
        <v>150</v>
      </c>
      <c r="F50" s="24" t="s">
        <v>85</v>
      </c>
      <c r="I50" s="7"/>
    </row>
    <row r="51" spans="1:9" x14ac:dyDescent="0.25">
      <c r="A51" s="35">
        <v>44683</v>
      </c>
      <c r="B51" s="22">
        <f t="shared" ref="B51" si="41">WEEKNUM(A51)</f>
        <v>19</v>
      </c>
      <c r="C51" s="36">
        <v>8.3333333333333329E-2</v>
      </c>
      <c r="D51" s="23" t="s">
        <v>4</v>
      </c>
      <c r="E51" s="24" t="s">
        <v>149</v>
      </c>
      <c r="F51" s="24" t="s">
        <v>84</v>
      </c>
      <c r="I51" s="7"/>
    </row>
    <row r="52" spans="1:9" ht="60" x14ac:dyDescent="0.25">
      <c r="A52" s="29">
        <v>44683</v>
      </c>
      <c r="B52" s="19">
        <f t="shared" ref="B52" si="42">WEEKNUM(A52)</f>
        <v>19</v>
      </c>
      <c r="C52" s="30">
        <v>2.0833333333333332E-2</v>
      </c>
      <c r="D52" s="20" t="s">
        <v>13</v>
      </c>
      <c r="E52" s="21" t="s">
        <v>148</v>
      </c>
      <c r="F52" s="21" t="s">
        <v>83</v>
      </c>
      <c r="I52" s="7"/>
    </row>
    <row r="53" spans="1:9" x14ac:dyDescent="0.25">
      <c r="A53" s="35">
        <v>44682</v>
      </c>
      <c r="B53" s="22">
        <f t="shared" ref="B53" si="43">WEEKNUM(A53)</f>
        <v>19</v>
      </c>
      <c r="C53" s="36">
        <v>8.3333333333333329E-2</v>
      </c>
      <c r="D53" s="23" t="s">
        <v>2</v>
      </c>
      <c r="E53" s="24" t="s">
        <v>147</v>
      </c>
      <c r="F53" s="24" t="s">
        <v>82</v>
      </c>
      <c r="I53" s="7"/>
    </row>
    <row r="54" spans="1:9" x14ac:dyDescent="0.25">
      <c r="A54" s="35">
        <v>44681</v>
      </c>
      <c r="B54" s="22">
        <f t="shared" ref="B54" si="44">WEEKNUM(A54)</f>
        <v>18</v>
      </c>
      <c r="C54" s="36">
        <v>8.3333333333333329E-2</v>
      </c>
      <c r="D54" s="23" t="s">
        <v>2</v>
      </c>
      <c r="E54" s="24" t="s">
        <v>147</v>
      </c>
      <c r="F54" s="24" t="s">
        <v>81</v>
      </c>
      <c r="I54" s="7"/>
    </row>
    <row r="55" spans="1:9" x14ac:dyDescent="0.25">
      <c r="A55" s="35">
        <v>44680</v>
      </c>
      <c r="B55" s="22">
        <f t="shared" ref="B55" si="45">WEEKNUM(A55)</f>
        <v>18</v>
      </c>
      <c r="C55" s="36">
        <v>4.1666666666666664E-2</v>
      </c>
      <c r="D55" s="23" t="s">
        <v>4</v>
      </c>
      <c r="E55" s="24" t="s">
        <v>146</v>
      </c>
      <c r="F55" s="24"/>
      <c r="I55" s="7"/>
    </row>
    <row r="56" spans="1:9" ht="45" x14ac:dyDescent="0.25">
      <c r="A56" s="42">
        <v>44680</v>
      </c>
      <c r="B56" s="43">
        <f t="shared" ref="B56" si="46">WEEKNUM(A56)</f>
        <v>18</v>
      </c>
      <c r="C56" s="44">
        <v>2.0833333333333332E-2</v>
      </c>
      <c r="D56" s="45" t="s">
        <v>13</v>
      </c>
      <c r="E56" s="46" t="s">
        <v>132</v>
      </c>
      <c r="F56" s="46" t="s">
        <v>79</v>
      </c>
      <c r="I56" s="7"/>
    </row>
    <row r="57" spans="1:9" ht="30" x14ac:dyDescent="0.25">
      <c r="A57" s="35">
        <v>44680</v>
      </c>
      <c r="B57" s="22">
        <f t="shared" ref="B57" si="47">WEEKNUM(A57)</f>
        <v>18</v>
      </c>
      <c r="C57" s="36">
        <v>0.20833333333333334</v>
      </c>
      <c r="D57" s="23" t="s">
        <v>8</v>
      </c>
      <c r="E57" s="24" t="s">
        <v>145</v>
      </c>
      <c r="F57" s="24" t="s">
        <v>80</v>
      </c>
      <c r="I57" s="7"/>
    </row>
    <row r="58" spans="1:9" x14ac:dyDescent="0.25">
      <c r="A58" s="35">
        <v>44679</v>
      </c>
      <c r="B58" s="22">
        <f t="shared" ref="B58" si="48">WEEKNUM(A58)</f>
        <v>18</v>
      </c>
      <c r="C58" s="36">
        <v>0.16666666666666666</v>
      </c>
      <c r="D58" s="23" t="s">
        <v>8</v>
      </c>
      <c r="E58" s="24" t="s">
        <v>144</v>
      </c>
      <c r="F58" s="24" t="s">
        <v>78</v>
      </c>
      <c r="I58" s="7"/>
    </row>
    <row r="59" spans="1:9" x14ac:dyDescent="0.25">
      <c r="A59" s="35">
        <v>44678</v>
      </c>
      <c r="B59" s="22">
        <f t="shared" ref="B59" si="49">WEEKNUM(A59)</f>
        <v>18</v>
      </c>
      <c r="C59" s="36">
        <v>0.14583333333333334</v>
      </c>
      <c r="D59" s="23" t="s">
        <v>8</v>
      </c>
      <c r="E59" s="24" t="s">
        <v>143</v>
      </c>
      <c r="F59" s="24" t="s">
        <v>77</v>
      </c>
      <c r="I59" s="7"/>
    </row>
    <row r="60" spans="1:9" x14ac:dyDescent="0.25">
      <c r="A60" s="35">
        <v>44676</v>
      </c>
      <c r="B60" s="22">
        <f t="shared" ref="B60" si="50">WEEKNUM(A60)</f>
        <v>18</v>
      </c>
      <c r="C60" s="36">
        <v>8.3333333333333329E-2</v>
      </c>
      <c r="D60" s="23" t="s">
        <v>8</v>
      </c>
      <c r="E60" s="24" t="s">
        <v>142</v>
      </c>
      <c r="F60" s="24" t="s">
        <v>76</v>
      </c>
      <c r="I60" s="7"/>
    </row>
    <row r="61" spans="1:9" ht="30" x14ac:dyDescent="0.25">
      <c r="A61" s="35">
        <v>44675</v>
      </c>
      <c r="B61" s="22">
        <f t="shared" ref="B61" si="51">WEEKNUM(A61)</f>
        <v>18</v>
      </c>
      <c r="C61" s="36">
        <v>0.16666666666666666</v>
      </c>
      <c r="D61" s="23" t="s">
        <v>8</v>
      </c>
      <c r="E61" s="24" t="s">
        <v>73</v>
      </c>
      <c r="F61" s="24" t="s">
        <v>75</v>
      </c>
      <c r="I61" s="7"/>
    </row>
    <row r="62" spans="1:9" x14ac:dyDescent="0.25">
      <c r="A62" s="35">
        <v>44674</v>
      </c>
      <c r="B62" s="22">
        <f t="shared" ref="B62" si="52">WEEKNUM(A62)</f>
        <v>17</v>
      </c>
      <c r="C62" s="36">
        <v>8.3333333333333329E-2</v>
      </c>
      <c r="D62" s="23" t="s">
        <v>8</v>
      </c>
      <c r="E62" s="24" t="s">
        <v>142</v>
      </c>
      <c r="F62" s="24" t="s">
        <v>74</v>
      </c>
      <c r="I62" s="7"/>
    </row>
    <row r="63" spans="1:9" ht="60" x14ac:dyDescent="0.25">
      <c r="A63" s="35">
        <v>44673</v>
      </c>
      <c r="B63" s="22">
        <f t="shared" ref="B63" si="53">WEEKNUM(A63)</f>
        <v>17</v>
      </c>
      <c r="C63" s="36">
        <v>0.125</v>
      </c>
      <c r="D63" s="23" t="s">
        <v>2</v>
      </c>
      <c r="E63" s="24" t="s">
        <v>141</v>
      </c>
      <c r="F63" s="24" t="s">
        <v>72</v>
      </c>
      <c r="I63" s="7"/>
    </row>
    <row r="64" spans="1:9" ht="45" x14ac:dyDescent="0.25">
      <c r="A64" s="35">
        <v>44673</v>
      </c>
      <c r="B64" s="22">
        <f t="shared" ref="B64" si="54">WEEKNUM(A64)</f>
        <v>17</v>
      </c>
      <c r="C64" s="36">
        <v>0.10416666666666667</v>
      </c>
      <c r="D64" s="23" t="s">
        <v>8</v>
      </c>
      <c r="E64" s="24" t="s">
        <v>140</v>
      </c>
      <c r="F64" s="24" t="s">
        <v>71</v>
      </c>
      <c r="I64" s="7"/>
    </row>
    <row r="65" spans="1:9" ht="30" x14ac:dyDescent="0.25">
      <c r="A65" s="35">
        <v>44672</v>
      </c>
      <c r="B65" s="22">
        <f t="shared" ref="B65" si="55">WEEKNUM(A65)</f>
        <v>17</v>
      </c>
      <c r="C65" s="36">
        <v>0.20833333333333334</v>
      </c>
      <c r="D65" s="23" t="s">
        <v>8</v>
      </c>
      <c r="E65" s="24" t="s">
        <v>139</v>
      </c>
      <c r="F65" s="24" t="s">
        <v>70</v>
      </c>
      <c r="I65" s="7"/>
    </row>
    <row r="66" spans="1:9" x14ac:dyDescent="0.25">
      <c r="A66" s="35">
        <v>44671</v>
      </c>
      <c r="B66" s="22">
        <f t="shared" ref="B66" si="56">WEEKNUM(A66)</f>
        <v>17</v>
      </c>
      <c r="C66" s="36">
        <v>0.20833333333333334</v>
      </c>
      <c r="D66" s="23" t="s">
        <v>8</v>
      </c>
      <c r="E66" s="24" t="s">
        <v>138</v>
      </c>
      <c r="F66" s="24" t="s">
        <v>69</v>
      </c>
      <c r="I66" s="7"/>
    </row>
    <row r="67" spans="1:9" x14ac:dyDescent="0.25">
      <c r="A67" s="29">
        <v>44665</v>
      </c>
      <c r="B67" s="19">
        <f t="shared" ref="B67" si="57">WEEKNUM(A67)</f>
        <v>16</v>
      </c>
      <c r="C67" s="30">
        <v>2.7777777777777776E-2</v>
      </c>
      <c r="D67" s="20" t="s">
        <v>13</v>
      </c>
      <c r="E67" s="21" t="s">
        <v>132</v>
      </c>
      <c r="F67" s="21" t="s">
        <v>68</v>
      </c>
      <c r="I67" s="7"/>
    </row>
    <row r="68" spans="1:9" x14ac:dyDescent="0.25">
      <c r="A68" s="37">
        <v>44664</v>
      </c>
      <c r="B68" s="38">
        <f t="shared" ref="B68" si="58">WEEKNUM(A68)</f>
        <v>16</v>
      </c>
      <c r="C68" s="39">
        <v>8.3333333333333329E-2</v>
      </c>
      <c r="D68" s="40" t="s">
        <v>2</v>
      </c>
      <c r="E68" s="41" t="s">
        <v>137</v>
      </c>
      <c r="F68" s="41"/>
      <c r="I68" s="7"/>
    </row>
    <row r="69" spans="1:9" x14ac:dyDescent="0.25">
      <c r="A69" s="37">
        <v>44660</v>
      </c>
      <c r="B69" s="38">
        <f t="shared" ref="B69" si="59">WEEKNUM(A69)</f>
        <v>15</v>
      </c>
      <c r="C69" s="39">
        <v>0.10416666666666667</v>
      </c>
      <c r="D69" s="40" t="s">
        <v>4</v>
      </c>
      <c r="E69" s="41" t="s">
        <v>136</v>
      </c>
      <c r="F69" s="41" t="s">
        <v>67</v>
      </c>
      <c r="I69" s="7"/>
    </row>
    <row r="70" spans="1:9" x14ac:dyDescent="0.25">
      <c r="A70" s="37">
        <v>44659</v>
      </c>
      <c r="B70" s="38">
        <f t="shared" ref="B70" si="60">WEEKNUM(A70)</f>
        <v>15</v>
      </c>
      <c r="C70" s="39">
        <v>4.1666666666666664E-2</v>
      </c>
      <c r="D70" s="40" t="s">
        <v>4</v>
      </c>
      <c r="E70" s="41" t="s">
        <v>135</v>
      </c>
      <c r="F70" s="41" t="s">
        <v>67</v>
      </c>
      <c r="I70" s="7"/>
    </row>
    <row r="71" spans="1:9" ht="45" x14ac:dyDescent="0.25">
      <c r="A71" s="29">
        <v>44659</v>
      </c>
      <c r="B71" s="19">
        <f t="shared" ref="B71" si="61">WEEKNUM(A71)</f>
        <v>15</v>
      </c>
      <c r="C71" s="30">
        <v>4.1666666666666664E-2</v>
      </c>
      <c r="D71" s="20" t="s">
        <v>13</v>
      </c>
      <c r="E71" s="21" t="s">
        <v>14</v>
      </c>
      <c r="F71" s="21" t="s">
        <v>66</v>
      </c>
      <c r="I71" s="7"/>
    </row>
    <row r="72" spans="1:9" ht="30" x14ac:dyDescent="0.25">
      <c r="A72" s="37">
        <v>44659</v>
      </c>
      <c r="B72" s="38">
        <f t="shared" ref="B72" si="62">WEEKNUM(A72)</f>
        <v>15</v>
      </c>
      <c r="C72" s="39">
        <v>0.16666666666666666</v>
      </c>
      <c r="D72" s="40" t="s">
        <v>2</v>
      </c>
      <c r="E72" s="41" t="s">
        <v>134</v>
      </c>
      <c r="F72" s="41" t="s">
        <v>65</v>
      </c>
      <c r="I72" s="7"/>
    </row>
    <row r="73" spans="1:9" x14ac:dyDescent="0.25">
      <c r="A73" s="37">
        <v>44658</v>
      </c>
      <c r="B73" s="38">
        <f t="shared" ref="B73" si="63">WEEKNUM(A73)</f>
        <v>15</v>
      </c>
      <c r="C73" s="39">
        <v>8.3333333333333329E-2</v>
      </c>
      <c r="D73" s="40" t="s">
        <v>4</v>
      </c>
      <c r="E73" s="41" t="s">
        <v>133</v>
      </c>
      <c r="F73" s="41" t="s">
        <v>64</v>
      </c>
      <c r="I73" s="7"/>
    </row>
    <row r="74" spans="1:9" x14ac:dyDescent="0.25">
      <c r="A74" s="37">
        <v>44657</v>
      </c>
      <c r="B74" s="38">
        <f t="shared" ref="B74" si="64">WEEKNUM(A74)</f>
        <v>15</v>
      </c>
      <c r="C74" s="39">
        <v>0.11458333333333333</v>
      </c>
      <c r="D74" s="40" t="s">
        <v>4</v>
      </c>
      <c r="E74" s="41" t="s">
        <v>63</v>
      </c>
      <c r="F74" s="41"/>
      <c r="I74" s="7"/>
    </row>
    <row r="75" spans="1:9" ht="30" x14ac:dyDescent="0.25">
      <c r="A75" s="37">
        <v>44652</v>
      </c>
      <c r="B75" s="38">
        <f t="shared" ref="B75" si="65">WEEKNUM(A75)</f>
        <v>14</v>
      </c>
      <c r="C75" s="39">
        <v>0.20833333333333334</v>
      </c>
      <c r="D75" s="40" t="s">
        <v>2</v>
      </c>
      <c r="E75" s="41" t="s">
        <v>61</v>
      </c>
      <c r="F75" s="41" t="s">
        <v>62</v>
      </c>
      <c r="I75" s="7"/>
    </row>
    <row r="76" spans="1:9" x14ac:dyDescent="0.25">
      <c r="A76" s="29">
        <v>44652</v>
      </c>
      <c r="B76" s="19">
        <f t="shared" ref="B76" si="66">WEEKNUM(A76)</f>
        <v>14</v>
      </c>
      <c r="C76" s="30">
        <v>4.1666666666666664E-2</v>
      </c>
      <c r="D76" s="20" t="s">
        <v>13</v>
      </c>
      <c r="E76" s="21" t="s">
        <v>132</v>
      </c>
      <c r="F76" s="21" t="s">
        <v>60</v>
      </c>
      <c r="I76" s="7"/>
    </row>
    <row r="77" spans="1:9" x14ac:dyDescent="0.25">
      <c r="A77" s="37">
        <v>44651</v>
      </c>
      <c r="B77" s="38">
        <f t="shared" ref="B77" si="67">WEEKNUM(A77)</f>
        <v>14</v>
      </c>
      <c r="C77" s="39">
        <v>4.1666666666666664E-2</v>
      </c>
      <c r="D77" s="40" t="s">
        <v>2</v>
      </c>
      <c r="E77" s="41" t="s">
        <v>57</v>
      </c>
      <c r="F77" s="41" t="s">
        <v>59</v>
      </c>
      <c r="I77" s="7"/>
    </row>
    <row r="78" spans="1:9" x14ac:dyDescent="0.25">
      <c r="A78" s="37">
        <v>44650</v>
      </c>
      <c r="B78" s="38">
        <f t="shared" ref="B78" si="68">WEEKNUM(A78)</f>
        <v>14</v>
      </c>
      <c r="C78" s="39">
        <v>4.1666666666666664E-2</v>
      </c>
      <c r="D78" s="40" t="s">
        <v>2</v>
      </c>
      <c r="E78" s="41" t="s">
        <v>57</v>
      </c>
      <c r="F78" s="41" t="s">
        <v>58</v>
      </c>
      <c r="I78" s="7"/>
    </row>
    <row r="79" spans="1:9" ht="30" x14ac:dyDescent="0.25">
      <c r="A79" s="37">
        <v>44648</v>
      </c>
      <c r="B79" s="38">
        <f t="shared" ref="B79" si="69">WEEKNUM(A79)</f>
        <v>14</v>
      </c>
      <c r="C79" s="39">
        <v>9.375E-2</v>
      </c>
      <c r="D79" s="40" t="s">
        <v>2</v>
      </c>
      <c r="E79" s="41" t="s">
        <v>55</v>
      </c>
      <c r="F79" s="41" t="s">
        <v>56</v>
      </c>
      <c r="I79" s="7"/>
    </row>
    <row r="80" spans="1:9" ht="30" x14ac:dyDescent="0.25">
      <c r="A80" s="29">
        <v>44645</v>
      </c>
      <c r="B80" s="19">
        <f t="shared" ref="B80" si="70">WEEKNUM(A80)</f>
        <v>13</v>
      </c>
      <c r="C80" s="30">
        <v>4.1666666666666664E-2</v>
      </c>
      <c r="D80" s="20" t="s">
        <v>13</v>
      </c>
      <c r="E80" s="21" t="s">
        <v>14</v>
      </c>
      <c r="F80" s="21" t="s">
        <v>53</v>
      </c>
      <c r="I80" s="7"/>
    </row>
    <row r="81" spans="1:9" ht="30" x14ac:dyDescent="0.25">
      <c r="A81" s="35">
        <v>44645</v>
      </c>
      <c r="B81" s="22">
        <f t="shared" ref="B81" si="71">WEEKNUM(A81)</f>
        <v>13</v>
      </c>
      <c r="C81" s="36">
        <v>0.20833333333333334</v>
      </c>
      <c r="D81" s="23" t="s">
        <v>2</v>
      </c>
      <c r="E81" s="24" t="s">
        <v>54</v>
      </c>
      <c r="F81" s="24" t="s">
        <v>52</v>
      </c>
      <c r="I81" s="7"/>
    </row>
    <row r="82" spans="1:9" x14ac:dyDescent="0.25">
      <c r="A82" s="35">
        <v>44644</v>
      </c>
      <c r="B82" s="22">
        <f t="shared" ref="B82" si="72">WEEKNUM(A82)</f>
        <v>13</v>
      </c>
      <c r="C82" s="36">
        <v>8.3333333333333329E-2</v>
      </c>
      <c r="D82" s="23" t="s">
        <v>2</v>
      </c>
      <c r="E82" s="24" t="s">
        <v>50</v>
      </c>
      <c r="F82" s="24" t="s">
        <v>51</v>
      </c>
      <c r="I82" s="7"/>
    </row>
    <row r="83" spans="1:9" x14ac:dyDescent="0.25">
      <c r="A83" s="35">
        <v>44643</v>
      </c>
      <c r="B83" s="22">
        <f t="shared" ref="B83" si="73">WEEKNUM(A83)</f>
        <v>13</v>
      </c>
      <c r="C83" s="36">
        <v>7.2916666666666671E-2</v>
      </c>
      <c r="D83" s="23" t="s">
        <v>2</v>
      </c>
      <c r="E83" s="24" t="s">
        <v>50</v>
      </c>
      <c r="F83" s="24" t="s">
        <v>49</v>
      </c>
      <c r="I83" s="7"/>
    </row>
    <row r="84" spans="1:9" ht="30" x14ac:dyDescent="0.25">
      <c r="A84" s="35">
        <v>44641</v>
      </c>
      <c r="B84" s="22">
        <f t="shared" ref="B84" si="74">WEEKNUM(A84)</f>
        <v>13</v>
      </c>
      <c r="C84" s="36">
        <v>4.1666666666666664E-2</v>
      </c>
      <c r="D84" s="23" t="s">
        <v>2</v>
      </c>
      <c r="E84" s="24" t="s">
        <v>47</v>
      </c>
      <c r="F84" s="24" t="s">
        <v>48</v>
      </c>
      <c r="I84" s="7"/>
    </row>
    <row r="85" spans="1:9" ht="30" x14ac:dyDescent="0.25">
      <c r="A85" s="29">
        <v>44631</v>
      </c>
      <c r="B85" s="19">
        <f t="shared" ref="B85" si="75">WEEKNUM(A85)</f>
        <v>11</v>
      </c>
      <c r="C85" s="30">
        <v>2.0833333333333332E-2</v>
      </c>
      <c r="D85" s="20" t="s">
        <v>13</v>
      </c>
      <c r="E85" s="21" t="s">
        <v>14</v>
      </c>
      <c r="F85" s="21" t="s">
        <v>46</v>
      </c>
      <c r="I85" s="7"/>
    </row>
    <row r="86" spans="1:9" x14ac:dyDescent="0.25">
      <c r="A86" s="35">
        <v>44631</v>
      </c>
      <c r="B86" s="22">
        <f t="shared" ref="B86" si="76">WEEKNUM(A86)</f>
        <v>11</v>
      </c>
      <c r="C86" s="36">
        <v>4.1666666666666664E-2</v>
      </c>
      <c r="D86" s="23" t="s">
        <v>8</v>
      </c>
      <c r="E86" s="24" t="s">
        <v>41</v>
      </c>
      <c r="F86" s="24" t="s">
        <v>42</v>
      </c>
      <c r="I86" s="7"/>
    </row>
    <row r="87" spans="1:9" ht="30" x14ac:dyDescent="0.25">
      <c r="A87" s="35">
        <v>44631</v>
      </c>
      <c r="B87" s="22">
        <f t="shared" ref="B87" si="77">WEEKNUM(A87)</f>
        <v>11</v>
      </c>
      <c r="C87" s="36">
        <v>7.2916666666666671E-2</v>
      </c>
      <c r="D87" s="23" t="s">
        <v>4</v>
      </c>
      <c r="E87" s="24" t="s">
        <v>40</v>
      </c>
      <c r="F87" s="24"/>
      <c r="I87" s="7"/>
    </row>
    <row r="88" spans="1:9" ht="45" x14ac:dyDescent="0.25">
      <c r="A88" s="35">
        <v>44631</v>
      </c>
      <c r="B88" s="22">
        <f t="shared" ref="B88" si="78">WEEKNUM(A88)</f>
        <v>11</v>
      </c>
      <c r="C88" s="36">
        <v>0.14583333333333334</v>
      </c>
      <c r="D88" s="23" t="s">
        <v>2</v>
      </c>
      <c r="E88" s="24" t="s">
        <v>44</v>
      </c>
      <c r="F88" s="24" t="s">
        <v>45</v>
      </c>
      <c r="I88" s="7"/>
    </row>
    <row r="89" spans="1:9" x14ac:dyDescent="0.25">
      <c r="A89" s="35">
        <v>44630</v>
      </c>
      <c r="B89" s="22">
        <f t="shared" ref="B89" si="79">WEEKNUM(A89)</f>
        <v>11</v>
      </c>
      <c r="C89" s="36">
        <v>3.125E-2</v>
      </c>
      <c r="D89" s="23" t="s">
        <v>2</v>
      </c>
      <c r="E89" s="24" t="s">
        <v>36</v>
      </c>
      <c r="F89" s="24" t="s">
        <v>37</v>
      </c>
      <c r="I89" s="7"/>
    </row>
    <row r="90" spans="1:9" x14ac:dyDescent="0.25">
      <c r="A90" s="35">
        <v>44630</v>
      </c>
      <c r="B90" s="22">
        <f t="shared" ref="B90" si="80">WEEKNUM(A90)</f>
        <v>11</v>
      </c>
      <c r="C90" s="36">
        <v>3.125E-2</v>
      </c>
      <c r="D90" s="23" t="s">
        <v>4</v>
      </c>
      <c r="E90" s="24" t="s">
        <v>38</v>
      </c>
      <c r="F90" s="24" t="s">
        <v>39</v>
      </c>
      <c r="I90" s="7"/>
    </row>
    <row r="91" spans="1:9" x14ac:dyDescent="0.25">
      <c r="A91" s="35">
        <v>44627</v>
      </c>
      <c r="B91" s="22">
        <f t="shared" ref="B91" si="81">WEEKNUM(A91)</f>
        <v>11</v>
      </c>
      <c r="C91" s="36">
        <v>3.125E-2</v>
      </c>
      <c r="D91" s="23" t="s">
        <v>2</v>
      </c>
      <c r="E91" s="24" t="s">
        <v>35</v>
      </c>
      <c r="F91" s="24"/>
      <c r="I91" s="7"/>
    </row>
    <row r="92" spans="1:9" x14ac:dyDescent="0.25">
      <c r="A92" s="35">
        <v>44625</v>
      </c>
      <c r="B92" s="22">
        <f t="shared" ref="B92" si="82">WEEKNUM(A92)</f>
        <v>10</v>
      </c>
      <c r="C92" s="36">
        <v>6.25E-2</v>
      </c>
      <c r="D92" s="23" t="s">
        <v>8</v>
      </c>
      <c r="E92" s="24" t="s">
        <v>33</v>
      </c>
      <c r="F92" s="24" t="s">
        <v>34</v>
      </c>
      <c r="I92" s="7"/>
    </row>
    <row r="93" spans="1:9" ht="30" x14ac:dyDescent="0.25">
      <c r="A93" s="35">
        <v>44624</v>
      </c>
      <c r="B93" s="22">
        <f t="shared" ref="B93" si="83">WEEKNUM(A93)</f>
        <v>10</v>
      </c>
      <c r="C93" s="36">
        <v>6.25E-2</v>
      </c>
      <c r="D93" s="23" t="s">
        <v>8</v>
      </c>
      <c r="E93" s="24" t="s">
        <v>31</v>
      </c>
      <c r="F93" s="24" t="s">
        <v>32</v>
      </c>
      <c r="I93" s="7"/>
    </row>
    <row r="94" spans="1:9" x14ac:dyDescent="0.25">
      <c r="A94" s="35">
        <v>44624</v>
      </c>
      <c r="B94" s="22">
        <f t="shared" ref="B94" si="84">WEEKNUM(A94)</f>
        <v>10</v>
      </c>
      <c r="C94" s="36">
        <v>0.125</v>
      </c>
      <c r="D94" s="23" t="s">
        <v>4</v>
      </c>
      <c r="E94" s="24" t="s">
        <v>29</v>
      </c>
      <c r="F94" s="24" t="s">
        <v>30</v>
      </c>
      <c r="I94" s="7"/>
    </row>
    <row r="95" spans="1:9" x14ac:dyDescent="0.25">
      <c r="A95" s="35">
        <v>44624</v>
      </c>
      <c r="B95" s="22">
        <f t="shared" ref="B95" si="85">WEEKNUM(A95)</f>
        <v>10</v>
      </c>
      <c r="C95" s="36">
        <v>4.1666666666666664E-2</v>
      </c>
      <c r="D95" s="23" t="s">
        <v>4</v>
      </c>
      <c r="E95" s="24" t="s">
        <v>27</v>
      </c>
      <c r="F95" s="24" t="s">
        <v>28</v>
      </c>
      <c r="I95" s="7"/>
    </row>
    <row r="96" spans="1:9" x14ac:dyDescent="0.25">
      <c r="A96" s="35">
        <v>44624</v>
      </c>
      <c r="B96" s="22">
        <f t="shared" ref="B96" si="86">WEEKNUM(A96)</f>
        <v>10</v>
      </c>
      <c r="C96" s="36">
        <v>4.1666666666666664E-2</v>
      </c>
      <c r="D96" s="23" t="s">
        <v>4</v>
      </c>
      <c r="E96" s="24" t="s">
        <v>20</v>
      </c>
      <c r="F96" s="24"/>
      <c r="I96" s="7"/>
    </row>
    <row r="97" spans="1:9" ht="90" x14ac:dyDescent="0.25">
      <c r="A97" s="29">
        <v>44623</v>
      </c>
      <c r="B97" s="19">
        <f t="shared" ref="B97" si="87">WEEKNUM(A97)</f>
        <v>10</v>
      </c>
      <c r="C97" s="30">
        <v>2.0833333333333332E-2</v>
      </c>
      <c r="D97" s="20" t="s">
        <v>13</v>
      </c>
      <c r="E97" s="21" t="s">
        <v>14</v>
      </c>
      <c r="F97" s="21" t="s">
        <v>43</v>
      </c>
      <c r="I97" s="7"/>
    </row>
    <row r="98" spans="1:9" ht="45" x14ac:dyDescent="0.25">
      <c r="A98" s="35">
        <v>44622</v>
      </c>
      <c r="B98" s="22"/>
      <c r="C98" s="36">
        <v>4.1666666666666664E-2</v>
      </c>
      <c r="D98" s="23" t="s">
        <v>21</v>
      </c>
      <c r="E98" s="24" t="s">
        <v>24</v>
      </c>
      <c r="F98" s="24" t="s">
        <v>25</v>
      </c>
      <c r="I98" s="7"/>
    </row>
    <row r="99" spans="1:9" ht="60" x14ac:dyDescent="0.25">
      <c r="A99" s="35">
        <v>44619</v>
      </c>
      <c r="B99" s="22"/>
      <c r="C99" s="36">
        <v>8.3333333333333329E-2</v>
      </c>
      <c r="D99" s="23" t="s">
        <v>21</v>
      </c>
      <c r="E99" s="24" t="s">
        <v>23</v>
      </c>
      <c r="F99" s="24" t="s">
        <v>22</v>
      </c>
      <c r="I99" s="7"/>
    </row>
    <row r="100" spans="1:9" x14ac:dyDescent="0.25">
      <c r="A100" s="28">
        <v>44617</v>
      </c>
      <c r="B100" s="10">
        <f t="shared" ref="B100" si="88">WEEKNUM(A100)</f>
        <v>9</v>
      </c>
      <c r="C100" s="31">
        <v>0.16666666666666666</v>
      </c>
      <c r="D100" s="5" t="s">
        <v>13</v>
      </c>
      <c r="E100" s="6" t="s">
        <v>15</v>
      </c>
      <c r="F100" s="6" t="s">
        <v>16</v>
      </c>
      <c r="I100" s="7"/>
    </row>
    <row r="101" spans="1:9" ht="90" x14ac:dyDescent="0.25">
      <c r="A101" s="29">
        <v>44616</v>
      </c>
      <c r="B101" s="19">
        <f t="shared" ref="B101" si="89">WEEKNUM(A101)</f>
        <v>9</v>
      </c>
      <c r="C101" s="30">
        <v>8.3333333333333329E-2</v>
      </c>
      <c r="D101" s="20" t="s">
        <v>13</v>
      </c>
      <c r="E101" s="21" t="s">
        <v>14</v>
      </c>
      <c r="F101" s="21" t="s">
        <v>17</v>
      </c>
      <c r="I101" s="7"/>
    </row>
    <row r="102" spans="1:9" x14ac:dyDescent="0.25">
      <c r="A102" s="12"/>
      <c r="I102" s="7"/>
    </row>
    <row r="104" spans="1:9" x14ac:dyDescent="0.25">
      <c r="C104" s="32"/>
    </row>
  </sheetData>
  <sheetProtection selectLockedCells="1"/>
  <mergeCells count="1">
    <mergeCell ref="A1:F2"/>
  </mergeCells>
  <pageMargins left="0.70866141732283472" right="0.70866141732283472" top="0.74803149606299213" bottom="0.74803149606299213" header="0.31496062992125984" footer="0.31496062992125984"/>
  <pageSetup paperSize="152" scale="6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0</xdr:col>
                    <xdr:colOff>0</xdr:colOff>
                    <xdr:row>6</xdr:row>
                    <xdr:rowOff>38100</xdr:rowOff>
                  </from>
                  <to>
                    <xdr:col>0</xdr:col>
                    <xdr:colOff>752475</xdr:colOff>
                    <xdr:row>7</xdr:row>
                    <xdr:rowOff>161925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r:uid="{00000000-0002-0000-0000-000000000000}">
          <x14:formula1>
            <xm:f>Parameters!$A$2:$A$9</xm:f>
          </x14:formula1>
          <xm:sqref>D10:D101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le3"/>
  <dimension ref="A1:A9"/>
  <sheetViews>
    <sheetView workbookViewId="0">
      <selection activeCell="D8" sqref="D8"/>
    </sheetView>
  </sheetViews>
  <sheetFormatPr baseColWidth="10" defaultRowHeight="15" x14ac:dyDescent="0.25"/>
  <cols>
    <col min="1" max="1" width="13.140625" bestFit="1" customWidth="1"/>
  </cols>
  <sheetData>
    <row r="1" spans="1:1" x14ac:dyDescent="0.25">
      <c r="A1" s="2" t="s">
        <v>9</v>
      </c>
    </row>
    <row r="2" spans="1:1" x14ac:dyDescent="0.25">
      <c r="A2" s="1" t="s">
        <v>2</v>
      </c>
    </row>
    <row r="3" spans="1:1" x14ac:dyDescent="0.25">
      <c r="A3" t="s">
        <v>13</v>
      </c>
    </row>
    <row r="4" spans="1:1" x14ac:dyDescent="0.25">
      <c r="A4" t="s">
        <v>6</v>
      </c>
    </row>
    <row r="5" spans="1:1" x14ac:dyDescent="0.25">
      <c r="A5" t="s">
        <v>7</v>
      </c>
    </row>
    <row r="6" spans="1:1" x14ac:dyDescent="0.25">
      <c r="A6" s="1" t="s">
        <v>8</v>
      </c>
    </row>
    <row r="7" spans="1:1" x14ac:dyDescent="0.25">
      <c r="A7" s="1" t="s">
        <v>3</v>
      </c>
    </row>
    <row r="8" spans="1:1" x14ac:dyDescent="0.25">
      <c r="A8" s="1" t="s">
        <v>4</v>
      </c>
    </row>
    <row r="9" spans="1:1" x14ac:dyDescent="0.25">
      <c r="A9" s="1" t="s">
        <v>21</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autoFill="0" autoPict="0" macro="[0]!NewTaskType" altText="Add task">
                <anchor moveWithCells="1" sizeWithCells="1">
                  <from>
                    <xdr:col>0</xdr:col>
                    <xdr:colOff>9525</xdr:colOff>
                    <xdr:row>9</xdr:row>
                    <xdr:rowOff>28575</xdr:rowOff>
                  </from>
                  <to>
                    <xdr:col>0</xdr:col>
                    <xdr:colOff>990600</xdr:colOff>
                    <xdr:row>10</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2</vt:i4>
      </vt:variant>
      <vt:variant>
        <vt:lpstr>Plages nommées</vt:lpstr>
      </vt:variant>
      <vt:variant>
        <vt:i4>1</vt:i4>
      </vt:variant>
    </vt:vector>
  </HeadingPairs>
  <TitlesOfParts>
    <vt:vector size="3" baseType="lpstr">
      <vt:lpstr>Journal</vt:lpstr>
      <vt:lpstr>Parameters</vt:lpstr>
      <vt:lpstr>base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2022-06-17T17:02:23Z</dcterms:modified>
</cp:coreProperties>
</file>